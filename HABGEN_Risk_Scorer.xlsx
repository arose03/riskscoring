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Info" state="visible" r:id="rId4"/>
    <sheet sheetId="2" name="Property Scoring" state="visible" r:id="rId5"/>
    <sheet sheetId="3" name="GL Scoring" state="visible" r:id="rId6"/>
    <sheet sheetId="4" name="Grade Reference" state="visible" r:id="rId7"/>
    <sheet sheetId="5" name="University Database" state="visible" r:id="rId8"/>
  </sheets>
  <calcPr calcId="171027"/>
</workbook>
</file>

<file path=xl/sharedStrings.xml><?xml version="1.0" encoding="utf-8"?>
<sst xmlns="http://schemas.openxmlformats.org/spreadsheetml/2006/main" count="719" uniqueCount="669">
  <si>
    <t>HABGEN RISK SCORER — Property Information</t>
  </si>
  <si>
    <t>Enter property details below. These feed into the scoring sheets automatically.</t>
  </si>
  <si>
    <t>PROPERTY &amp; LOCATION</t>
  </si>
  <si>
    <t>BUILDING &amp; FINANCIAL</t>
  </si>
  <si>
    <t>Property Address</t>
  </si>
  <si>
    <t>Stories</t>
  </si>
  <si>
    <t>University Name</t>
  </si>
  <si>
    <t>Construction (FR/NC/JM/FRAME)</t>
  </si>
  <si>
    <t>University Tier (1/2/3)</t>
  </si>
  <si>
    <t>Sprinkler (Y/N)</t>
  </si>
  <si>
    <t>University Party Score</t>
  </si>
  <si>
    <t>Occupancy Type</t>
  </si>
  <si>
    <t>Distance to Campus (mi)</t>
  </si>
  <si>
    <t>Sponsor Tier (A/B/C)</t>
  </si>
  <si>
    <t>Total Insured Value ($)</t>
  </si>
  <si>
    <t>DSCR</t>
  </si>
  <si>
    <t>Number of Units</t>
  </si>
  <si>
    <t>Actual Rent ($/bed/mo)</t>
  </si>
  <si>
    <t>Year Built</t>
  </si>
  <si>
    <t>Est. Market Rent ($/bed/mo)</t>
  </si>
  <si>
    <t>CALCULATED VALUES</t>
  </si>
  <si>
    <t/>
  </si>
  <si>
    <t>Rent vs Market Ratio</t>
  </si>
  <si>
    <t>Univ. Tier Risk Score (auto)</t>
  </si>
  <si>
    <t>Distance Risk Score (auto)</t>
  </si>
  <si>
    <t>Rent vs Market Score (auto)</t>
  </si>
  <si>
    <t>PROPERTY RISK SCORING</t>
  </si>
  <si>
    <t>#</t>
  </si>
  <si>
    <t>Factor</t>
  </si>
  <si>
    <t>Score (1-5)</t>
  </si>
  <si>
    <t>Weight</t>
  </si>
  <si>
    <t>Weighted Score</t>
  </si>
  <si>
    <t>Score Guide (1=Best, 5=Worst)</t>
  </si>
  <si>
    <t>Construction Quality</t>
  </si>
  <si>
    <t>1=FR steel/concrete | 2=Non-Combustible | 3=Joisted Masonry | 4=Frame &lt;15yr | 5=Frame &gt;15yr</t>
  </si>
  <si>
    <t>Building Age / Condition</t>
  </si>
  <si>
    <t>1=&lt;5yr new | 2=5-15yr modern | 3=15-25yr aging | 4=25-40yr deferred maint | 5=&gt;40yr high risk</t>
  </si>
  <si>
    <t>Height / Stories</t>
  </si>
  <si>
    <t>1=1-2 stories | 2=3-4 stories | 3=5-7 stories | 4=8-12 stories | 5=&gt;12 stories</t>
  </si>
  <si>
    <t>Sprinkler / Fire Protection</t>
  </si>
  <si>
    <t>1=Full NFPA 13+alarm | 2=Full sprinkler, limited | 3=Partial/13R | 4=FE only | 5=None</t>
  </si>
  <si>
    <t>University Risk Tier</t>
  </si>
  <si>
    <t>[AUTO] 1=Tier1 | 2=Tier2 (party&lt;7) | 3=Tier2 (party&gt;=7) | 4=Tier3 (party&lt;8) | 5=Tier3 (party&gt;=8)</t>
  </si>
  <si>
    <t>1=Senior/LIHTC | 2=Workforce | 3=Graduate | 4=Undergraduate | 5=Greek/Party</t>
  </si>
  <si>
    <t>Crime Score</t>
  </si>
  <si>
    <t>1=Very Low (&lt;20 idx) | 2=Low (20-35) | 3=Medium (35-50) | 4=High (50-70) | 5=Very High (&gt;70)</t>
  </si>
  <si>
    <t>Sponsor / Mgmt Tier</t>
  </si>
  <si>
    <t>1=Top Inst (&gt;$1B) | 2=Strong Regional (&gt;$200M) | 3=Adequate | 4=Thin/Emerging | 5=New/Poor</t>
  </si>
  <si>
    <t>DSCR Strength</t>
  </si>
  <si>
    <t>1=&gt;=1.60x | 2=1.40-1.59x | 3=1.25-1.39x | 4=1.10-1.24x | 5=&lt;1.10x</t>
  </si>
  <si>
    <t>Distance from Campus</t>
  </si>
  <si>
    <t>[AUTO] 1=&lt;0.25mi | 2=0.25-0.5mi | 3=0.5-1.0mi | 4=1.0-2.0mi | 5=&gt;2.0mi</t>
  </si>
  <si>
    <t>Rent vs. Market</t>
  </si>
  <si>
    <t>[AUTO] 1=&gt;120% | 2=110-120% | 3=100-110% | 4=90-100% | 5=&lt;90%</t>
  </si>
  <si>
    <t>Work Order / Maintenance</t>
  </si>
  <si>
    <t>1=Excellent | 2=Good | 3=Average | 4=Below Average | 5=Poor</t>
  </si>
  <si>
    <t>Loss History</t>
  </si>
  <si>
    <t>1=No losses 3+yr | 2=Minor (LR&lt;40%) | 3=Moderate (40-60%) | 4=Significant (60-80%) | 5=Severe (&gt;80%)</t>
  </si>
  <si>
    <t>TOTAL WEIGHTED SCORE</t>
  </si>
  <si>
    <t>GRADE</t>
  </si>
  <si>
    <t>UW ACTION</t>
  </si>
  <si>
    <t>RATE MODIFICATION</t>
  </si>
  <si>
    <t>GENERAL LIABILITY (GL) RISK SCORING</t>
  </si>
  <si>
    <t>Amenity Risk</t>
  </si>
  <si>
    <t>1=None/Basic | 2=Gym (fitness) | 3=Pool (slip/fall) | 4=Pool+Deck (outdoor) | 5=Full Party (pool+deck+bar)</t>
  </si>
  <si>
    <t>Premises Condition</t>
  </si>
  <si>
    <t>1=Excellent | 2=Good (minor cosmetic) | 3=Average | 4=Below Avg (deterioration) | 5=Poor (hazards)</t>
  </si>
  <si>
    <t>Security Measures</t>
  </si>
  <si>
    <t>1=24hr+cameras+access+patrol | 2=Cameras+controlled access | 3=Key fob, basic cams | 4=Locked entries only | 5=Open access</t>
  </si>
  <si>
    <t>GRADE REFERENCE TABLE</t>
  </si>
  <si>
    <t>Grade</t>
  </si>
  <si>
    <t>Label</t>
  </si>
  <si>
    <t>Score Range</t>
  </si>
  <si>
    <t>UW Action</t>
  </si>
  <si>
    <t>Rate Mod</t>
  </si>
  <si>
    <t>A+</t>
  </si>
  <si>
    <t>Excellent</t>
  </si>
  <si>
    <t>1.00 — 1.50</t>
  </si>
  <si>
    <t>BIND — Standard Terms</t>
  </si>
  <si>
    <t>-15%</t>
  </si>
  <si>
    <t>A</t>
  </si>
  <si>
    <t>Very Good</t>
  </si>
  <si>
    <t>1.51 — 2.00</t>
  </si>
  <si>
    <t>-10%</t>
  </si>
  <si>
    <t>B+</t>
  </si>
  <si>
    <t>Good</t>
  </si>
  <si>
    <t>2.01 — 2.50</t>
  </si>
  <si>
    <t>BIND — Review Pricing</t>
  </si>
  <si>
    <t>-5%</t>
  </si>
  <si>
    <t>B</t>
  </si>
  <si>
    <t>Average</t>
  </si>
  <si>
    <t>2.51 — 3.00</t>
  </si>
  <si>
    <t>0% (Base)</t>
  </si>
  <si>
    <t>C+</t>
  </si>
  <si>
    <t>Below Avg</t>
  </si>
  <si>
    <t>3.01 — 3.50</t>
  </si>
  <si>
    <t>REFER — Senior UW</t>
  </si>
  <si>
    <t>+10%</t>
  </si>
  <si>
    <t>C</t>
  </si>
  <si>
    <t>Marginal</t>
  </si>
  <si>
    <t>3.51 — 4.00</t>
  </si>
  <si>
    <t>REFER — Committee</t>
  </si>
  <si>
    <t>+20%</t>
  </si>
  <si>
    <t>D</t>
  </si>
  <si>
    <t>Poor</t>
  </si>
  <si>
    <t>4.01 — 5.00</t>
  </si>
  <si>
    <t>DECLINE</t>
  </si>
  <si>
    <t>+35%</t>
  </si>
  <si>
    <t>AUTO-SCORE LOOKUP TABLES</t>
  </si>
  <si>
    <t>University Tier → Score</t>
  </si>
  <si>
    <t>Tier 1 (any party)</t>
  </si>
  <si>
    <t>→</t>
  </si>
  <si>
    <t>Tier 2, party &lt; 7.0</t>
  </si>
  <si>
    <t>Tier 2, party &gt;= 7.0</t>
  </si>
  <si>
    <t>Tier 3, party &lt; 8.0</t>
  </si>
  <si>
    <t>Tier 3, party &gt;= 8.0</t>
  </si>
  <si>
    <t>Distance → Score</t>
  </si>
  <si>
    <t>&lt; 0.25 miles</t>
  </si>
  <si>
    <t>0.25 — 0.50 miles</t>
  </si>
  <si>
    <t>0.50 — 1.00 miles</t>
  </si>
  <si>
    <t>1.00 — 2.00 miles</t>
  </si>
  <si>
    <t>&gt; 2.00 miles</t>
  </si>
  <si>
    <t>Rent vs Market → Score</t>
  </si>
  <si>
    <t>&gt; 120% of market</t>
  </si>
  <si>
    <t>110% — 120%</t>
  </si>
  <si>
    <t>100% — 110%</t>
  </si>
  <si>
    <t>90% — 100%</t>
  </si>
  <si>
    <t>&lt; 90% of market</t>
  </si>
  <si>
    <t>UNIVERSITY DATABASE (535 Schools)</t>
  </si>
  <si>
    <t>Tier</t>
  </si>
  <si>
    <t>Party Score</t>
  </si>
  <si>
    <t>Latitude</t>
  </si>
  <si>
    <t>Longitude</t>
  </si>
  <si>
    <t>Risk Score</t>
  </si>
  <si>
    <t>Abilene Christian University</t>
  </si>
  <si>
    <t>Agnes Scott College</t>
  </si>
  <si>
    <t>Alabama State University</t>
  </si>
  <si>
    <t>Alcorn State University</t>
  </si>
  <si>
    <t>Allegheny College</t>
  </si>
  <si>
    <t>American University</t>
  </si>
  <si>
    <t>Amherst College</t>
  </si>
  <si>
    <t>Appalachian State University</t>
  </si>
  <si>
    <t>Arizona State University</t>
  </si>
  <si>
    <t>Arizona State University Tempe</t>
  </si>
  <si>
    <t>Arkansas State University</t>
  </si>
  <si>
    <t>Auburn University</t>
  </si>
  <si>
    <t>Auburn University at Montgomery</t>
  </si>
  <si>
    <t>Augustana College</t>
  </si>
  <si>
    <t>Austin Peay State University</t>
  </si>
  <si>
    <t>Babson College</t>
  </si>
  <si>
    <t>Ball State University</t>
  </si>
  <si>
    <t>Barnard College</t>
  </si>
  <si>
    <t>Bates College</t>
  </si>
  <si>
    <t>Baylor University</t>
  </si>
  <si>
    <t>Belmont University</t>
  </si>
  <si>
    <t>Beloit College</t>
  </si>
  <si>
    <t>Bentley University</t>
  </si>
  <si>
    <t>Berry College</t>
  </si>
  <si>
    <t>Bethune-Cookman University</t>
  </si>
  <si>
    <t>Birmingham-Southern College</t>
  </si>
  <si>
    <t>Bloomsburg University</t>
  </si>
  <si>
    <t>Boise State University</t>
  </si>
  <si>
    <t>Boston College</t>
  </si>
  <si>
    <t>Boston University</t>
  </si>
  <si>
    <t>Bowdoin College</t>
  </si>
  <si>
    <t>Bowie State University</t>
  </si>
  <si>
    <t>Bowling Green State University</t>
  </si>
  <si>
    <t>Bradley University</t>
  </si>
  <si>
    <t>Brandeis University</t>
  </si>
  <si>
    <t>Brigham Young University</t>
  </si>
  <si>
    <t>Brown University</t>
  </si>
  <si>
    <t>Bryant University</t>
  </si>
  <si>
    <t>Bryn Mawr College</t>
  </si>
  <si>
    <t>Bucknell University</t>
  </si>
  <si>
    <t>Butler University</t>
  </si>
  <si>
    <t>California Institute of Technology</t>
  </si>
  <si>
    <t>California Polytechnic State University</t>
  </si>
  <si>
    <t>California State Polytechnic University Pomona</t>
  </si>
  <si>
    <t>California State University Bakersfield</t>
  </si>
  <si>
    <t>California State University Channel Islands</t>
  </si>
  <si>
    <t>California State University Chico</t>
  </si>
  <si>
    <t>California State University Dominguez Hills</t>
  </si>
  <si>
    <t>California State University East Bay</t>
  </si>
  <si>
    <t>California State University Fresno</t>
  </si>
  <si>
    <t>California State University Fullerton</t>
  </si>
  <si>
    <t>California State University Long Beach</t>
  </si>
  <si>
    <t>California State University Los Angeles</t>
  </si>
  <si>
    <t>California State University Monterey Bay</t>
  </si>
  <si>
    <t>California State University Northridge</t>
  </si>
  <si>
    <t>California State University Sacramento</t>
  </si>
  <si>
    <t>California State University San Bernardino</t>
  </si>
  <si>
    <t>California State University San Marcos</t>
  </si>
  <si>
    <t>California State University Stanislaus</t>
  </si>
  <si>
    <t>Canisius College</t>
  </si>
  <si>
    <t>Carleton College</t>
  </si>
  <si>
    <t>Carnegie Mellon University</t>
  </si>
  <si>
    <t>Case Western Reserve University</t>
  </si>
  <si>
    <t>Catholic University of America</t>
  </si>
  <si>
    <t>Central Michigan University</t>
  </si>
  <si>
    <t>Central Washington University</t>
  </si>
  <si>
    <t>Centre College</t>
  </si>
  <si>
    <t>Chapman University</t>
  </si>
  <si>
    <t>Charleston Southern University</t>
  </si>
  <si>
    <t>Christopher Newport University</t>
  </si>
  <si>
    <t>Claremont McKenna College</t>
  </si>
  <si>
    <t>Clark Atlanta University</t>
  </si>
  <si>
    <t>Clark University</t>
  </si>
  <si>
    <t>Clarkson University</t>
  </si>
  <si>
    <t>Clemson University</t>
  </si>
  <si>
    <t>Cleveland State University</t>
  </si>
  <si>
    <t>Coastal Carolina University</t>
  </si>
  <si>
    <t>Colby College</t>
  </si>
  <si>
    <t>Colgate University</t>
  </si>
  <si>
    <t>College of Charleston</t>
  </si>
  <si>
    <t>College of William &amp; Mary</t>
  </si>
  <si>
    <t>Colorado College</t>
  </si>
  <si>
    <t>Colorado School of Mines</t>
  </si>
  <si>
    <t>Colorado State University</t>
  </si>
  <si>
    <t>Columbia University</t>
  </si>
  <si>
    <t>Concord University</t>
  </si>
  <si>
    <t>Connecticut College</t>
  </si>
  <si>
    <t>Cornell University</t>
  </si>
  <si>
    <t>Creighton University</t>
  </si>
  <si>
    <t>Dartmouth College</t>
  </si>
  <si>
    <t>Davidson College</t>
  </si>
  <si>
    <t>Delaware State University</t>
  </si>
  <si>
    <t>Delta State University</t>
  </si>
  <si>
    <t>Denison University</t>
  </si>
  <si>
    <t>DePaul University</t>
  </si>
  <si>
    <t>DePauw University</t>
  </si>
  <si>
    <t>Dickinson College</t>
  </si>
  <si>
    <t>Drake University</t>
  </si>
  <si>
    <t>Drexel University</t>
  </si>
  <si>
    <t>Drury University</t>
  </si>
  <si>
    <t>Duke University</t>
  </si>
  <si>
    <t>Duquesne University</t>
  </si>
  <si>
    <t>Earlham College</t>
  </si>
  <si>
    <t>East Carolina University</t>
  </si>
  <si>
    <t>East Stroudsburg University</t>
  </si>
  <si>
    <t>East Tennessee State University</t>
  </si>
  <si>
    <t>Eastern Illinois University</t>
  </si>
  <si>
    <t>Eastern Kentucky University</t>
  </si>
  <si>
    <t>Eastern Michigan University</t>
  </si>
  <si>
    <t>Eastern Washington University</t>
  </si>
  <si>
    <t>Elizabeth City State University</t>
  </si>
  <si>
    <t>Elon University</t>
  </si>
  <si>
    <t>Embry-Riddle Aeronautical University</t>
  </si>
  <si>
    <t>Emerson College</t>
  </si>
  <si>
    <t>Emory University</t>
  </si>
  <si>
    <t>Fairfield University</t>
  </si>
  <si>
    <t>Fairleigh Dickinson University</t>
  </si>
  <si>
    <t>Fairmont State University</t>
  </si>
  <si>
    <t>Ferris State University</t>
  </si>
  <si>
    <t>Fisk University</t>
  </si>
  <si>
    <t>Florida A&amp;M University</t>
  </si>
  <si>
    <t>Florida Atlantic University</t>
  </si>
  <si>
    <t>Florida Gulf Coast University</t>
  </si>
  <si>
    <t>Florida International University</t>
  </si>
  <si>
    <t>Florida State University</t>
  </si>
  <si>
    <t>Fordham University</t>
  </si>
  <si>
    <t>Francis Marion University</t>
  </si>
  <si>
    <t>Franklin &amp; Marshall College</t>
  </si>
  <si>
    <t>Furman University</t>
  </si>
  <si>
    <t>Gallaudet University</t>
  </si>
  <si>
    <t>George Mason University</t>
  </si>
  <si>
    <t>George Washington University</t>
  </si>
  <si>
    <t>Georgetown University</t>
  </si>
  <si>
    <t>Georgia Institute of Technology</t>
  </si>
  <si>
    <t>Georgia Southern University</t>
  </si>
  <si>
    <t>Georgia State University</t>
  </si>
  <si>
    <t>Gettysburg College</t>
  </si>
  <si>
    <t>Gonzaga University</t>
  </si>
  <si>
    <t>Grambling State University</t>
  </si>
  <si>
    <t>Grand Canyon University</t>
  </si>
  <si>
    <t>Grand Valley State University</t>
  </si>
  <si>
    <t>Grinnell College</t>
  </si>
  <si>
    <t>Gustavus Adolphus College</t>
  </si>
  <si>
    <t>Hamilton College</t>
  </si>
  <si>
    <t>Hampden-Sydney College</t>
  </si>
  <si>
    <t>Hampton University</t>
  </si>
  <si>
    <t>Harvard University</t>
  </si>
  <si>
    <t>Harvey Mudd College</t>
  </si>
  <si>
    <t>Haverford College</t>
  </si>
  <si>
    <t>Henderson State University</t>
  </si>
  <si>
    <t>Hendrix College</t>
  </si>
  <si>
    <t>High Point University</t>
  </si>
  <si>
    <t>Hofstra University</t>
  </si>
  <si>
    <t>Holy Cross College</t>
  </si>
  <si>
    <t>Hope College</t>
  </si>
  <si>
    <t>Howard University</t>
  </si>
  <si>
    <t>Humboldt State University</t>
  </si>
  <si>
    <t>Illinois Institute of Technology</t>
  </si>
  <si>
    <t>Illinois State University</t>
  </si>
  <si>
    <t>Indiana State University</t>
  </si>
  <si>
    <t>Indiana University Bloomington</t>
  </si>
  <si>
    <t>Indiana University of Pennsylvania</t>
  </si>
  <si>
    <t>Indiana University-Purdue University Indianapolis</t>
  </si>
  <si>
    <t>Iona University</t>
  </si>
  <si>
    <t>Iowa State University</t>
  </si>
  <si>
    <t>Ithaca College</t>
  </si>
  <si>
    <t>Jackson State University</t>
  </si>
  <si>
    <t>Jacksonville State University</t>
  </si>
  <si>
    <t>Jacksonville University</t>
  </si>
  <si>
    <t>James Madison University</t>
  </si>
  <si>
    <t>Johns Hopkins University</t>
  </si>
  <si>
    <t>Kalamazoo College</t>
  </si>
  <si>
    <t>Kansas State University</t>
  </si>
  <si>
    <t>Kean University</t>
  </si>
  <si>
    <t>Keene State College</t>
  </si>
  <si>
    <t>Kennesaw State University</t>
  </si>
  <si>
    <t>Kent State University</t>
  </si>
  <si>
    <t>Kenyon College</t>
  </si>
  <si>
    <t>Knox College</t>
  </si>
  <si>
    <t>Kutztown University</t>
  </si>
  <si>
    <t>Lafayette College</t>
  </si>
  <si>
    <t>Lake Forest College</t>
  </si>
  <si>
    <t>Lamar University</t>
  </si>
  <si>
    <t>Le Moyne College</t>
  </si>
  <si>
    <t>Lehigh University</t>
  </si>
  <si>
    <t>Lewis &amp; Clark College</t>
  </si>
  <si>
    <t>Liberty University</t>
  </si>
  <si>
    <t>Long Island University</t>
  </si>
  <si>
    <t>Longwood University</t>
  </si>
  <si>
    <t>Louisiana State University</t>
  </si>
  <si>
    <t>Louisiana Tech University</t>
  </si>
  <si>
    <t>Loyola Marymount University</t>
  </si>
  <si>
    <t>Loyola University Chicago</t>
  </si>
  <si>
    <t>Loyola University Maryland</t>
  </si>
  <si>
    <t>Loyola University New Orleans</t>
  </si>
  <si>
    <t>Luther College</t>
  </si>
  <si>
    <t>Macalester College</t>
  </si>
  <si>
    <t>Manhattan College</t>
  </si>
  <si>
    <t>Marist College</t>
  </si>
  <si>
    <t>Marquette University</t>
  </si>
  <si>
    <t>Marquette University Milwaukee</t>
  </si>
  <si>
    <t>Marshall University</t>
  </si>
  <si>
    <t>Massachusetts Institute of Technology</t>
  </si>
  <si>
    <t>McNeese State University</t>
  </si>
  <si>
    <t>Mercer University</t>
  </si>
  <si>
    <t>Miami University Ohio</t>
  </si>
  <si>
    <t>Michigan State University</t>
  </si>
  <si>
    <t>Michigan Technological University</t>
  </si>
  <si>
    <t>Middle Tennessee State University</t>
  </si>
  <si>
    <t>Middlebury College</t>
  </si>
  <si>
    <t>Millersville University</t>
  </si>
  <si>
    <t>Millsaps College</t>
  </si>
  <si>
    <t>Minnesota State University Mankato</t>
  </si>
  <si>
    <t>Mississippi State University</t>
  </si>
  <si>
    <t>Mississippi Valley State University</t>
  </si>
  <si>
    <t>Missouri State University</t>
  </si>
  <si>
    <t>Missouri University of Science and Technology</t>
  </si>
  <si>
    <t>Monmouth University</t>
  </si>
  <si>
    <t>Montana State University</t>
  </si>
  <si>
    <t>Montclair State University</t>
  </si>
  <si>
    <t>Morehead State University</t>
  </si>
  <si>
    <t>Morehouse College</t>
  </si>
  <si>
    <t>Morgan State University</t>
  </si>
  <si>
    <t>Mount Holyoke College</t>
  </si>
  <si>
    <t>Muhlenberg College</t>
  </si>
  <si>
    <t>Murray State University</t>
  </si>
  <si>
    <t>New Jersey Institute of Technology</t>
  </si>
  <si>
    <t>New Mexico State University</t>
  </si>
  <si>
    <t>New York University</t>
  </si>
  <si>
    <t>Niagara University</t>
  </si>
  <si>
    <t>Nicholls State University</t>
  </si>
  <si>
    <t>Norfolk State University</t>
  </si>
  <si>
    <t>North Carolina A&amp;T State University</t>
  </si>
  <si>
    <t>North Carolina Central University</t>
  </si>
  <si>
    <t>North Carolina State University</t>
  </si>
  <si>
    <t>North Dakota State University</t>
  </si>
  <si>
    <t>Northeastern University</t>
  </si>
  <si>
    <t>Northeastern University Boston</t>
  </si>
  <si>
    <t>Northern Arizona University</t>
  </si>
  <si>
    <t>Northern Illinois University</t>
  </si>
  <si>
    <t>Northern Kentucky University</t>
  </si>
  <si>
    <t>Northern Michigan University</t>
  </si>
  <si>
    <t>Northwestern State University</t>
  </si>
  <si>
    <t>Northwestern University</t>
  </si>
  <si>
    <t>Oberlin College</t>
  </si>
  <si>
    <t>Occidental College</t>
  </si>
  <si>
    <t>Ohio State University</t>
  </si>
  <si>
    <t>Ohio University</t>
  </si>
  <si>
    <t>Oklahoma State University</t>
  </si>
  <si>
    <t>Old Dominion University</t>
  </si>
  <si>
    <t>Oregon State University</t>
  </si>
  <si>
    <t>Pace University</t>
  </si>
  <si>
    <t>Penn State University</t>
  </si>
  <si>
    <t>Pepperdine University</t>
  </si>
  <si>
    <t>Pitzer College</t>
  </si>
  <si>
    <t>Plymouth State University</t>
  </si>
  <si>
    <t>Pomona College</t>
  </si>
  <si>
    <t>Portland State University</t>
  </si>
  <si>
    <t>Prairie View A&amp;M University</t>
  </si>
  <si>
    <t>Princeton University</t>
  </si>
  <si>
    <t>Providence College</t>
  </si>
  <si>
    <t>Purdue University</t>
  </si>
  <si>
    <t>Quinnipiac University</t>
  </si>
  <si>
    <t>Radford University</t>
  </si>
  <si>
    <t>Ramapo College</t>
  </si>
  <si>
    <t>Reed College</t>
  </si>
  <si>
    <t>Rensselaer Polytechnic Institute</t>
  </si>
  <si>
    <t>Rhodes College</t>
  </si>
  <si>
    <t>Rice University</t>
  </si>
  <si>
    <t>Rider University</t>
  </si>
  <si>
    <t>Rochester Institute of Technology</t>
  </si>
  <si>
    <t>Roger Williams University</t>
  </si>
  <si>
    <t>Rollins College</t>
  </si>
  <si>
    <t>Rowan University</t>
  </si>
  <si>
    <t>Rutgers University</t>
  </si>
  <si>
    <t>Sacred Heart University</t>
  </si>
  <si>
    <t>Salisbury University</t>
  </si>
  <si>
    <t>Sam Houston State University</t>
  </si>
  <si>
    <t>Samford University</t>
  </si>
  <si>
    <t>San Diego State University</t>
  </si>
  <si>
    <t>San Jose State University</t>
  </si>
  <si>
    <t>Santa Clara University</t>
  </si>
  <si>
    <t>Sarah Lawrence College</t>
  </si>
  <si>
    <t>Scripps College</t>
  </si>
  <si>
    <t>Seattle University</t>
  </si>
  <si>
    <t>Seton Hall University</t>
  </si>
  <si>
    <t>Sewanee University of the South</t>
  </si>
  <si>
    <t>Shepherd University</t>
  </si>
  <si>
    <t>Shippensburg University</t>
  </si>
  <si>
    <t>Siena College</t>
  </si>
  <si>
    <t>Simmons University</t>
  </si>
  <si>
    <t>Skidmore College</t>
  </si>
  <si>
    <t>Slippery Rock University</t>
  </si>
  <si>
    <t>Smith College</t>
  </si>
  <si>
    <t>Sonoma State University</t>
  </si>
  <si>
    <t>South Carolina State University</t>
  </si>
  <si>
    <t>South Dakota State University</t>
  </si>
  <si>
    <t>Southeast Missouri State University</t>
  </si>
  <si>
    <t>Southeastern Louisiana University</t>
  </si>
  <si>
    <t>Southern Illinois University Carbondale</t>
  </si>
  <si>
    <t>Southern Methodist University</t>
  </si>
  <si>
    <t>Southern New Hampshire University</t>
  </si>
  <si>
    <t>Southern Oregon University</t>
  </si>
  <si>
    <t>Southern University Baton Rouge</t>
  </si>
  <si>
    <t>Southern Utah University</t>
  </si>
  <si>
    <t>Spelman College</t>
  </si>
  <si>
    <t>St. Cloud State University</t>
  </si>
  <si>
    <t>St. Edward's University</t>
  </si>
  <si>
    <t>St. John's University</t>
  </si>
  <si>
    <t>St. Louis University</t>
  </si>
  <si>
    <t>St. Olaf College</t>
  </si>
  <si>
    <t>Stanford University</t>
  </si>
  <si>
    <t>Stephen F. Austin State University</t>
  </si>
  <si>
    <t>Stetson University</t>
  </si>
  <si>
    <t>Stevens Institute of Technology</t>
  </si>
  <si>
    <t>Stockton University</t>
  </si>
  <si>
    <t>Stonehill College</t>
  </si>
  <si>
    <t>Stony Brook University</t>
  </si>
  <si>
    <t>Suffolk University</t>
  </si>
  <si>
    <t>SUNY Albany</t>
  </si>
  <si>
    <t>SUNY Binghamton</t>
  </si>
  <si>
    <t>SUNY Brockport</t>
  </si>
  <si>
    <t>SUNY Buffalo State</t>
  </si>
  <si>
    <t>SUNY Cortland</t>
  </si>
  <si>
    <t>SUNY Fredonia</t>
  </si>
  <si>
    <t>SUNY Geneseo</t>
  </si>
  <si>
    <t>SUNY New Paltz</t>
  </si>
  <si>
    <t>SUNY Oneonta</t>
  </si>
  <si>
    <t>SUNY Oswego</t>
  </si>
  <si>
    <t>SUNY Plattsburgh</t>
  </si>
  <si>
    <t>SUNY Potsdam</t>
  </si>
  <si>
    <t>SUNY Purchase</t>
  </si>
  <si>
    <t>Swarthmore College</t>
  </si>
  <si>
    <t>Syracuse University</t>
  </si>
  <si>
    <t>Tarleton State University</t>
  </si>
  <si>
    <t>Temple University</t>
  </si>
  <si>
    <t>Tennessee State University</t>
  </si>
  <si>
    <t>Texas A&amp;M University</t>
  </si>
  <si>
    <t>Texas Christian University</t>
  </si>
  <si>
    <t>Texas State University</t>
  </si>
  <si>
    <t>Texas Tech University</t>
  </si>
  <si>
    <t>The Citadel</t>
  </si>
  <si>
    <t>The College of New Jersey</t>
  </si>
  <si>
    <t>Towson University</t>
  </si>
  <si>
    <t>Transylvania University</t>
  </si>
  <si>
    <t>Trinity College</t>
  </si>
  <si>
    <t>Trinity University San Antonio</t>
  </si>
  <si>
    <t>Troy University</t>
  </si>
  <si>
    <t>Truman State University</t>
  </si>
  <si>
    <t>Tufts University</t>
  </si>
  <si>
    <t>Tulane University</t>
  </si>
  <si>
    <t>Tulane University New Orleans</t>
  </si>
  <si>
    <t>Tuskegee University</t>
  </si>
  <si>
    <t>Union College</t>
  </si>
  <si>
    <t>University at Buffalo</t>
  </si>
  <si>
    <t>University of Akron</t>
  </si>
  <si>
    <t>University of Alabama</t>
  </si>
  <si>
    <t>University of Alabama at Birmingham</t>
  </si>
  <si>
    <t>University of Alabama in Huntsville</t>
  </si>
  <si>
    <t>University of Alaska Anchorage</t>
  </si>
  <si>
    <t>University of Alaska Fairbanks</t>
  </si>
  <si>
    <t>University of Arizona</t>
  </si>
  <si>
    <t>University of Arizona Tucson</t>
  </si>
  <si>
    <t>University of Arkansas</t>
  </si>
  <si>
    <t>University of Bridgeport</t>
  </si>
  <si>
    <t>University of California Berkeley</t>
  </si>
  <si>
    <t>University of California Davis</t>
  </si>
  <si>
    <t>University of California Irvine</t>
  </si>
  <si>
    <t>University of California Los Angeles</t>
  </si>
  <si>
    <t>University of California Merced</t>
  </si>
  <si>
    <t>University of California Riverside</t>
  </si>
  <si>
    <t>University of California San Diego</t>
  </si>
  <si>
    <t>University of California Santa Barbara</t>
  </si>
  <si>
    <t>University of California Santa Cruz</t>
  </si>
  <si>
    <t>University of Central Arkansas</t>
  </si>
  <si>
    <t>University of Central Florida</t>
  </si>
  <si>
    <t>University of Chicago</t>
  </si>
  <si>
    <t>University of Cincinnati</t>
  </si>
  <si>
    <t>University of Colorado Boulder</t>
  </si>
  <si>
    <t>University of Colorado Colorado Springs</t>
  </si>
  <si>
    <t>University of Colorado Denver</t>
  </si>
  <si>
    <t>University of Connecticut</t>
  </si>
  <si>
    <t>University of Dayton</t>
  </si>
  <si>
    <t>University of Delaware</t>
  </si>
  <si>
    <t>University of Denver</t>
  </si>
  <si>
    <t>University of Evansville</t>
  </si>
  <si>
    <t>University of Florida</t>
  </si>
  <si>
    <t>University of Georgia</t>
  </si>
  <si>
    <t>University of Georgia Athens</t>
  </si>
  <si>
    <t>University of Hartford</t>
  </si>
  <si>
    <t>University of Hawaii at Hilo</t>
  </si>
  <si>
    <t>University of Hawaii at Manoa</t>
  </si>
  <si>
    <t>University of Houston</t>
  </si>
  <si>
    <t>University of Idaho</t>
  </si>
  <si>
    <t>University of Illinois Chicago</t>
  </si>
  <si>
    <t>University of Illinois Urbana-Champaign</t>
  </si>
  <si>
    <t>University of Iowa</t>
  </si>
  <si>
    <t>University of Kansas</t>
  </si>
  <si>
    <t>University of Kentucky</t>
  </si>
  <si>
    <t>University of Louisiana at Lafayette</t>
  </si>
  <si>
    <t>University of Louisiana at Monroe</t>
  </si>
  <si>
    <t>University of Louisville</t>
  </si>
  <si>
    <t>University of Maine</t>
  </si>
  <si>
    <t>University of Mary Washington</t>
  </si>
  <si>
    <t>University of Maryland</t>
  </si>
  <si>
    <t>University of Maryland Baltimore County</t>
  </si>
  <si>
    <t>University of Massachusetts Amherst</t>
  </si>
  <si>
    <t>University of Massachusetts Boston</t>
  </si>
  <si>
    <t>University of Massachusetts Dartmouth</t>
  </si>
  <si>
    <t>University of Massachusetts Lowell</t>
  </si>
  <si>
    <t>University of Memphis</t>
  </si>
  <si>
    <t>University of Miami</t>
  </si>
  <si>
    <t>University of Miami Coral Gables</t>
  </si>
  <si>
    <t>University of Michigan</t>
  </si>
  <si>
    <t>University of Minnesota</t>
  </si>
  <si>
    <t>University of Minnesota Duluth</t>
  </si>
  <si>
    <t>University of Mississippi</t>
  </si>
  <si>
    <t>University of Missouri</t>
  </si>
  <si>
    <t>University of Missouri-Kansas City</t>
  </si>
  <si>
    <t>University of Montana</t>
  </si>
  <si>
    <t>University of Nebraska at Omaha</t>
  </si>
  <si>
    <t>University of Nebraska-Lincoln</t>
  </si>
  <si>
    <t>University of Nevada Las Vegas</t>
  </si>
  <si>
    <t>University of Nevada Reno</t>
  </si>
  <si>
    <t>University of New Hampshire</t>
  </si>
  <si>
    <t>University of New Mexico</t>
  </si>
  <si>
    <t>University of New Orleans</t>
  </si>
  <si>
    <t>University of North Alabama</t>
  </si>
  <si>
    <t>University of North Carolina at Chapel Hill</t>
  </si>
  <si>
    <t>University of North Carolina at Charlotte</t>
  </si>
  <si>
    <t>University of North Carolina at Greensboro</t>
  </si>
  <si>
    <t>University of North Carolina Wilmington</t>
  </si>
  <si>
    <t>University of North Dakota</t>
  </si>
  <si>
    <t>University of North Florida</t>
  </si>
  <si>
    <t>University of North Texas</t>
  </si>
  <si>
    <t>University of North Texas Denton</t>
  </si>
  <si>
    <t>University of Northern Colorado</t>
  </si>
  <si>
    <t>University of Northern Iowa</t>
  </si>
  <si>
    <t>University of Notre Dame</t>
  </si>
  <si>
    <t>University of Oklahoma</t>
  </si>
  <si>
    <t>University of Oregon</t>
  </si>
  <si>
    <t>University of Pennsylvania</t>
  </si>
  <si>
    <t>University of Pittsburgh</t>
  </si>
  <si>
    <t>University of Portland</t>
  </si>
  <si>
    <t>University of Puget Sound</t>
  </si>
  <si>
    <t>University of Redlands</t>
  </si>
  <si>
    <t>University of Rhode Island</t>
  </si>
  <si>
    <t>University of Richmond</t>
  </si>
  <si>
    <t>University of Rochester</t>
  </si>
  <si>
    <t>University of San Diego</t>
  </si>
  <si>
    <t>University of San Francisco</t>
  </si>
  <si>
    <t>University of Scranton</t>
  </si>
  <si>
    <t>University of South Alabama</t>
  </si>
  <si>
    <t>University of South Carolina</t>
  </si>
  <si>
    <t>University of South Carolina Beaufort</t>
  </si>
  <si>
    <t>University of South Carolina Upstate</t>
  </si>
  <si>
    <t>University of South Dakota</t>
  </si>
  <si>
    <t>University of South Florida</t>
  </si>
  <si>
    <t>University of Southern California</t>
  </si>
  <si>
    <t>University of Southern Indiana</t>
  </si>
  <si>
    <t>University of Southern Maine</t>
  </si>
  <si>
    <t>University of Southern Mississippi</t>
  </si>
  <si>
    <t>University of Tampa</t>
  </si>
  <si>
    <t>University of Tennessee</t>
  </si>
  <si>
    <t>University of Tennessee at Chattanooga</t>
  </si>
  <si>
    <t>University of Texas at Arlington</t>
  </si>
  <si>
    <t>University of Texas at Austin</t>
  </si>
  <si>
    <t>University of Texas at Dallas</t>
  </si>
  <si>
    <t>University of Texas at El Paso</t>
  </si>
  <si>
    <t>University of Texas at San Antonio</t>
  </si>
  <si>
    <t>University of Texas Rio Grande Valley</t>
  </si>
  <si>
    <t>University of the District of Columbia</t>
  </si>
  <si>
    <t>University of the Pacific</t>
  </si>
  <si>
    <t>University of Toledo</t>
  </si>
  <si>
    <t>University of Tulsa</t>
  </si>
  <si>
    <t>University of Utah</t>
  </si>
  <si>
    <t>University of Vermont</t>
  </si>
  <si>
    <t>University of Virginia</t>
  </si>
  <si>
    <t>University of Washington</t>
  </si>
  <si>
    <t>University of West Florida</t>
  </si>
  <si>
    <t>University of Wisconsin-Eau Claire</t>
  </si>
  <si>
    <t>University of Wisconsin-La Crosse</t>
  </si>
  <si>
    <t>University of Wisconsin-Madison</t>
  </si>
  <si>
    <t>University of Wisconsin-Milwaukee</t>
  </si>
  <si>
    <t>University of Wisconsin-Oshkosh</t>
  </si>
  <si>
    <t>University of Wisconsin-Platteville</t>
  </si>
  <si>
    <t>University of Wisconsin-Stevens Point</t>
  </si>
  <si>
    <t>University of Wisconsin-Stout</t>
  </si>
  <si>
    <t>University of Wisconsin-Whitewater</t>
  </si>
  <si>
    <t>University of Wyoming</t>
  </si>
  <si>
    <t>Ursinus College</t>
  </si>
  <si>
    <t>Utah State University</t>
  </si>
  <si>
    <t>Valdosta State University</t>
  </si>
  <si>
    <t>Valparaiso University</t>
  </si>
  <si>
    <t>Vanderbilt University</t>
  </si>
  <si>
    <t>Vassar College</t>
  </si>
  <si>
    <t>Villanova University</t>
  </si>
  <si>
    <t>Virginia Commonwealth University</t>
  </si>
  <si>
    <t>Virginia Tech</t>
  </si>
  <si>
    <t>Wabash College</t>
  </si>
  <si>
    <t>Wagner College</t>
  </si>
  <si>
    <t>Wake Forest University</t>
  </si>
  <si>
    <t>Washington and Lee University</t>
  </si>
  <si>
    <t>Washington State University</t>
  </si>
  <si>
    <t>Washington University in St. Louis</t>
  </si>
  <si>
    <t>Wayne State University</t>
  </si>
  <si>
    <t>Weber State University</t>
  </si>
  <si>
    <t>Wellesley College</t>
  </si>
  <si>
    <t>Wentworth Institute of Technology</t>
  </si>
  <si>
    <t>Wesleyan University</t>
  </si>
  <si>
    <t>West Chester University</t>
  </si>
  <si>
    <t>West Texas A&amp;M University</t>
  </si>
  <si>
    <t>West Virginia University</t>
  </si>
  <si>
    <t>Western Carolina University</t>
  </si>
  <si>
    <t>Western Illinois University</t>
  </si>
  <si>
    <t>Western Kentucky University</t>
  </si>
  <si>
    <t>Western Michigan University</t>
  </si>
  <si>
    <t>Western Washington University</t>
  </si>
  <si>
    <t>Wheaton College Illinois</t>
  </si>
  <si>
    <t>Whitman College</t>
  </si>
  <si>
    <t>Wichita State University</t>
  </si>
  <si>
    <t>Willamette University</t>
  </si>
  <si>
    <t>William Paterson University</t>
  </si>
  <si>
    <t>Williams College</t>
  </si>
  <si>
    <t>Winona State University</t>
  </si>
  <si>
    <t>Winston-Salem State University</t>
  </si>
  <si>
    <t>Winthrop University</t>
  </si>
  <si>
    <t>Wofford College</t>
  </si>
  <si>
    <t>Wofford College Spartanburg</t>
  </si>
  <si>
    <t>Worcester Polytechnic Institute</t>
  </si>
  <si>
    <t>Wright State University</t>
  </si>
  <si>
    <t>Xavier University</t>
  </si>
  <si>
    <t>Xavier University of Louisiana</t>
  </si>
  <si>
    <t>Yale University</t>
  </si>
  <si>
    <t>Youngstown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</si>
</sst>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0.0%"/>
    <numFmt numFmtId="166" formatCode="+0%;-0%;0%"/>
    <numFmt numFmtId="167" formatCode="0.0000"/>
  </numFmts>
  <fonts count="1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666666"/>
      <sz val="10"/>
      <name val="Calibri"/>
    </font>
    <font>
      <b/>
      <color rgb="FFFFFFFF"/>
      <sz val="10"/>
      <name val="Calibri"/>
    </font>
    <font>
      <b/>
      <sz val="10"/>
      <name val="Calibri"/>
    </font>
    <font>
      <b/>
      <color rgb="FF1B2A4A"/>
      <sz val="12"/>
      <name val="Calibri"/>
    </font>
    <font>
      <b/>
      <color rgb="FF1B2A4A"/>
      <sz val="11"/>
      <name val="Calibri"/>
    </font>
    <font>
      <b/>
      <color rgb="FFFFFFFF"/>
      <sz val="11"/>
      <name val="Calibri"/>
    </font>
    <font>
      <sz val="10"/>
      <name val="Calibri"/>
    </font>
    <font>
      <color rgb="555555"/>
      <sz val="9"/>
      <name val="Calibri"/>
    </font>
    <font>
      <b/>
      <color rgb="FFFFFFFF"/>
      <sz val="12"/>
      <name val="Calibri"/>
    </font>
    <font>
      <b/>
      <sz val="12"/>
      <name val="Calibri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color rgb="999999"/>
      <sz val="9"/>
      <name val="Calibri"/>
    </font>
    <font>
      <sz val="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6B"/>
      </patternFill>
    </fill>
    <fill>
      <patternFill patternType="solid">
        <fgColor rgb="FFE8EDF5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2980B9"/>
      </patternFill>
    </fill>
    <fill>
      <patternFill patternType="solid">
        <fgColor rgb="2471A3"/>
      </patternFill>
    </fill>
    <fill>
      <patternFill patternType="solid">
        <fgColor rgb="FFEAFAF1"/>
      </patternFill>
    </fill>
    <fill>
      <patternFill patternType="solid">
        <fgColor rgb="FFFEF9E7"/>
      </patternFill>
    </fill>
    <fill>
      <patternFill patternType="solid">
        <fgColor rgb="FFFDECEA"/>
      </patternFill>
    </fill>
    <fill>
      <patternFill patternType="solid">
        <fgColor rgb="8E44AD"/>
      </patternFill>
    </fill>
    <fill>
      <patternFill patternType="solid">
        <fgColor rgb="7D3C98"/>
      </patternFill>
    </fill>
  </fills>
  <borders count="4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medium">
        <color rgb="2980B9"/>
      </left>
      <right style="medium">
        <color rgb="2980B9"/>
      </right>
      <top style="medium">
        <color rgb="2980B9"/>
      </top>
      <bottom style="medium">
        <color rgb="2980B9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4" fillId="4" borderId="1" xfId="0" applyFont="1" applyFill="1" applyBorder="1"/>
    <xf numFmtId="0" fontId="5" fillId="5" borderId="1" xfId="0" applyFont="1" applyFill="1" applyBorder="1"/>
    <xf numFmtId="4" fontId="5" fillId="5" borderId="1" xfId="0" applyNumberFormat="1" applyFont="1" applyFill="1" applyBorder="1"/>
    <xf numFmtId="164" fontId="5" fillId="5" borderId="1" xfId="0" applyNumberFormat="1" applyFont="1" applyFill="1" applyBorder="1"/>
    <xf numFmtId="0" fontId="0" fillId="3" borderId="0" xfId="0" applyFill="1"/>
    <xf numFmtId="165" fontId="6" fillId="0" borderId="1" xfId="0" applyNumberFormat="1" applyFont="1" applyBorder="1"/>
    <xf numFmtId="0" fontId="5" fillId="0" borderId="1" xfId="0" applyFont="1" applyBorder="1"/>
    <xf numFmtId="0" fontId="7" fillId="3" borderId="1" xfId="0" applyFont="1" applyFill="1" applyBorder="1" applyAlignment="1">
      <alignment horizontal="center"/>
    </xf>
    <xf numFmtId="0" fontId="0" fillId="6" borderId="1" xfId="0" applyFill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5" fillId="5" borderId="2" xfId="0" applyFont="1" applyFill="1" applyBorder="1" applyAlignment="1">
      <alignment horizontal="center"/>
    </xf>
    <xf numFmtId="9" fontId="8" fillId="6" borderId="1" xfId="0" applyNumberFormat="1" applyFont="1" applyFill="1" applyBorder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0" fontId="9" fillId="6" borderId="1" xfId="0" applyFont="1" applyFill="1" applyBorder="1"/>
    <xf numFmtId="0" fontId="0" fillId="7" borderId="1" xfId="0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9" fontId="8" fillId="7" borderId="1" xfId="0" applyNumberFormat="1" applyFont="1" applyFill="1" applyBorder="1" applyAlignment="1">
      <alignment horizontal="center"/>
    </xf>
    <xf numFmtId="2" fontId="8" fillId="7" borderId="1" xfId="0" applyNumberFormat="1" applyFont="1" applyFill="1" applyBorder="1" applyAlignment="1">
      <alignment horizontal="center"/>
    </xf>
    <xf numFmtId="0" fontId="9" fillId="7" borderId="1" xfId="0" applyFont="1" applyFill="1" applyBorder="1"/>
    <xf numFmtId="0" fontId="5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right" vertical="center"/>
    </xf>
    <xf numFmtId="2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11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center" vertical="center"/>
    </xf>
    <xf numFmtId="0" fontId="0" fillId="4" borderId="0" xfId="0" applyFill="1"/>
    <xf numFmtId="0" fontId="13" fillId="4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center"/>
    </xf>
    <xf numFmtId="166" fontId="11" fillId="4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0" fillId="8" borderId="0" xfId="0" applyFont="1" applyFill="1" applyAlignment="1">
      <alignment horizontal="right" vertical="center"/>
    </xf>
    <xf numFmtId="2" fontId="1" fillId="8" borderId="0" xfId="0" applyNumberFormat="1" applyFont="1" applyFill="1" applyAlignment="1">
      <alignment horizontal="center" vertical="center"/>
    </xf>
    <xf numFmtId="0" fontId="0" fillId="8" borderId="0" xfId="0" applyFill="1"/>
    <xf numFmtId="0" fontId="0" fillId="10" borderId="1" xfId="0" applyFill="1" applyBorder="1"/>
    <xf numFmtId="0" fontId="14" fillId="10" borderId="1" xfId="0" applyFont="1" applyFill="1" applyBorder="1" applyAlignment="1">
      <alignment horizontal="center"/>
    </xf>
    <xf numFmtId="0" fontId="8" fillId="10" borderId="1" xfId="0" applyFont="1" applyFill="1" applyBorder="1"/>
    <xf numFmtId="0" fontId="8" fillId="10" borderId="1" xfId="0" applyFont="1" applyFill="1" applyBorder="1" applyAlignment="1">
      <alignment horizontal="center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0" fillId="11" borderId="1" xfId="0" applyFill="1" applyBorder="1"/>
    <xf numFmtId="0" fontId="14" fillId="11" borderId="1" xfId="0" applyFont="1" applyFill="1" applyBorder="1" applyAlignment="1">
      <alignment horizontal="center"/>
    </xf>
    <xf numFmtId="0" fontId="8" fillId="11" borderId="1" xfId="0" applyFont="1" applyFill="1" applyBorder="1"/>
    <xf numFmtId="0" fontId="8" fillId="11" borderId="1" xfId="0" applyFont="1" applyFill="1" applyBorder="1" applyAlignment="1">
      <alignment horizontal="center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0" fillId="12" borderId="1" xfId="0" applyFill="1" applyBorder="1"/>
    <xf numFmtId="0" fontId="14" fillId="12" borderId="1" xfId="0" applyFont="1" applyFill="1" applyBorder="1" applyAlignment="1">
      <alignment horizontal="center"/>
    </xf>
    <xf numFmtId="0" fontId="8" fillId="12" borderId="1" xfId="0" applyFont="1" applyFill="1" applyBorder="1"/>
    <xf numFmtId="0" fontId="8" fillId="12" borderId="1" xfId="0" applyFont="1" applyFill="1" applyBorder="1" applyAlignment="1">
      <alignment horizont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3" fillId="0" borderId="0" xfId="0" applyFont="1"/>
    <xf numFmtId="0" fontId="8" fillId="6" borderId="1" xfId="0" applyFont="1" applyFill="1" applyBorder="1"/>
    <xf numFmtId="0" fontId="0" fillId="6" borderId="1" xfId="0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7" borderId="1" xfId="0" applyFont="1" applyFill="1" applyBorder="1"/>
    <xf numFmtId="0" fontId="0" fillId="7" borderId="1" xfId="0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7" fillId="14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167" fontId="16" fillId="6" borderId="1" xfId="0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167" fontId="16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 patternType="solid">
          <bgColor rgb="FFEAFAF1"/>
        </patternFill>
      </fill>
    </dxf>
    <dxf>
      <fill>
        <patternFill patternType="solid">
          <bgColor rgb="FFFEF9E7"/>
        </patternFill>
      </fill>
    </dxf>
    <dxf>
      <fill>
        <patternFill patternType="solid">
          <bgColor rgb="FFFDECEA"/>
        </patternFill>
      </fill>
    </dxf>
    <dxf>
      <fill>
        <patternFill patternType="solid">
          <bgColor rgb="FFEAFAF1"/>
        </patternFill>
      </fill>
    </dxf>
    <dxf>
      <fill>
        <patternFill patternType="solid">
          <bgColor rgb="FFFEF9E7"/>
        </patternFill>
      </fill>
    </dxf>
    <dxf>
      <fill>
        <patternFill patternType="solid">
          <bgColor rgb="FFFDECEA"/>
        </patternFill>
      </fill>
    </dxf>
    <dxf>
      <fill>
        <patternFill patternType="solid">
          <bgColor rgb="FFEAFAF1"/>
        </patternFill>
      </fill>
    </dxf>
    <dxf>
      <fill>
        <patternFill patternType="solid">
          <bgColor rgb="FFFEF9E7"/>
        </patternFill>
      </fill>
    </dxf>
    <dxf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2A4A"/>
  </sheetPr>
  <dimension ref="A1:F15"/>
  <sheetFormatPr defaultRowHeight="15" outlineLevelRow="0" outlineLevelCol="0" x14ac:dyDescent="55"/>
  <cols>
    <col min="1" max="1" width="3" customWidth="1"/>
    <col min="2" max="2" width="28" customWidth="1"/>
    <col min="3" max="3" width="35" customWidth="1"/>
    <col min="4" max="4" width="5" customWidth="1"/>
    <col min="5" max="5" width="28" customWidth="1"/>
    <col min="6" max="6" width="35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2:6" x14ac:dyDescent="0.25">
      <c r="B3" s="3" t="s">
        <v>2</v>
      </c>
      <c r="C3" s="3"/>
      <c r="E3" s="3" t="s">
        <v>3</v>
      </c>
      <c r="F3" s="3"/>
    </row>
    <row r="4" spans="2:6" x14ac:dyDescent="0.25">
      <c r="B4" s="4" t="s">
        <v>4</v>
      </c>
      <c r="C4" s="5"/>
      <c r="E4" s="4" t="s">
        <v>5</v>
      </c>
      <c r="F4" s="6"/>
    </row>
    <row r="5" spans="2:6" x14ac:dyDescent="0.25">
      <c r="B5" s="4" t="s">
        <v>6</v>
      </c>
      <c r="C5" s="5"/>
      <c r="E5" s="4" t="s">
        <v>7</v>
      </c>
      <c r="F5" s="5"/>
    </row>
    <row r="6" spans="2:6" x14ac:dyDescent="0.25">
      <c r="B6" s="4" t="s">
        <v>8</v>
      </c>
      <c r="C6" s="6"/>
      <c r="E6" s="4" t="s">
        <v>9</v>
      </c>
      <c r="F6" s="5"/>
    </row>
    <row r="7" spans="2:6" x14ac:dyDescent="0.25">
      <c r="B7" s="4" t="s">
        <v>10</v>
      </c>
      <c r="C7" s="6"/>
      <c r="E7" s="4" t="s">
        <v>11</v>
      </c>
      <c r="F7" s="5"/>
    </row>
    <row r="8" spans="2:6" x14ac:dyDescent="0.25">
      <c r="B8" s="4" t="s">
        <v>12</v>
      </c>
      <c r="C8" s="6"/>
      <c r="E8" s="4" t="s">
        <v>13</v>
      </c>
      <c r="F8" s="5"/>
    </row>
    <row r="9" spans="2:6" x14ac:dyDescent="0.25">
      <c r="B9" s="4" t="s">
        <v>14</v>
      </c>
      <c r="C9" s="7"/>
      <c r="E9" s="4" t="s">
        <v>15</v>
      </c>
      <c r="F9" s="6"/>
    </row>
    <row r="10" spans="2:6" x14ac:dyDescent="0.25">
      <c r="B10" s="4" t="s">
        <v>16</v>
      </c>
      <c r="C10" s="6"/>
      <c r="E10" s="4" t="s">
        <v>17</v>
      </c>
      <c r="F10" s="7"/>
    </row>
    <row r="11" spans="2:6" x14ac:dyDescent="0.25">
      <c r="B11" s="4" t="s">
        <v>18</v>
      </c>
      <c r="C11" s="6"/>
      <c r="E11" s="4" t="s">
        <v>19</v>
      </c>
      <c r="F11" s="7"/>
    </row>
    <row r="13" ht="24" customHeight="1" spans="2:6" x14ac:dyDescent="0.25">
      <c r="B13" s="3" t="s">
        <v>20</v>
      </c>
      <c r="C13" s="3"/>
      <c r="E13" s="8" t="s">
        <v>21</v>
      </c>
      <c r="F13" s="8"/>
    </row>
    <row r="14" spans="2:6" x14ac:dyDescent="0.25">
      <c r="B14" s="4" t="s">
        <v>22</v>
      </c>
      <c r="C14" s="9">
        <f>IF(AND(F10&gt;0,F11&gt;0),F10/F11,"Enter rents above")</f>
      </c>
      <c r="E14" s="4" t="s">
        <v>23</v>
      </c>
      <c r="F14" s="10">
        <f>IF(C6="","",IF(C6=3,IF(C7&gt;=8,5,4),IF(C6=2,IF(C7&gt;=7,3,2),1)))</f>
      </c>
    </row>
    <row r="15" spans="2:6" x14ac:dyDescent="0.25">
      <c r="B15" s="4" t="s">
        <v>24</v>
      </c>
      <c r="C15" s="10">
        <f>IF(C8="","",IF(C8&lt;0.25,1,IF(C8&lt;=0.5,2,IF(C8&lt;=1,3,IF(C8&lt;=2,4,5)))))</f>
      </c>
      <c r="E15" s="4" t="s">
        <v>25</v>
      </c>
      <c r="F15" s="10">
        <f>IF(C14="Enter rents above",3,IF(C14&gt;1.2,1,IF(C14&gt;=1.1,2,IF(C14&gt;=1,3,IF(C14&gt;=0.9,4,5)))))</f>
      </c>
    </row>
  </sheetData>
  <mergeCells count="6">
    <mergeCell ref="A1:F1"/>
    <mergeCell ref="A2:F2"/>
    <mergeCell ref="B3:C3"/>
    <mergeCell ref="E3:F3"/>
    <mergeCell ref="B13:C13"/>
    <mergeCell ref="E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H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28" customWidth="1"/>
    <col min="4" max="4" width="12" customWidth="1"/>
    <col min="5" max="5" width="10" customWidth="1"/>
    <col min="6" max="6" width="14" customWidth="1"/>
    <col min="7" max="7" width="3" customWidth="1"/>
    <col min="8" max="8" width="60" customWidth="1"/>
  </cols>
  <sheetData>
    <row r="1" ht="36" customHeight="1" spans="1:8" x14ac:dyDescent="0.25">
      <c r="A1" s="1" t="s">
        <v>26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11" t="s">
        <v>21</v>
      </c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21</v>
      </c>
      <c r="H3" s="11" t="s">
        <v>32</v>
      </c>
    </row>
    <row r="4" ht="24" customHeight="1" spans="1:8" x14ac:dyDescent="0.25">
      <c r="A4" s="12"/>
      <c r="B4" s="13">
        <v>1</v>
      </c>
      <c r="C4" s="14" t="s">
        <v>33</v>
      </c>
      <c r="D4" s="15"/>
      <c r="E4" s="16">
        <v>0.12</v>
      </c>
      <c r="F4" s="17">
        <f>IF(D4="","",D4*E4)</f>
      </c>
      <c r="G4" s="12"/>
      <c r="H4" s="18" t="s">
        <v>34</v>
      </c>
    </row>
    <row r="5" ht="24" customHeight="1" spans="1:8" x14ac:dyDescent="0.25">
      <c r="A5" s="19"/>
      <c r="B5" s="20">
        <v>2</v>
      </c>
      <c r="C5" s="21" t="s">
        <v>35</v>
      </c>
      <c r="D5" s="15"/>
      <c r="E5" s="22">
        <v>0.1</v>
      </c>
      <c r="F5" s="23">
        <f>IF(D5="","",D5*E5)</f>
      </c>
      <c r="G5" s="19"/>
      <c r="H5" s="24" t="s">
        <v>36</v>
      </c>
    </row>
    <row r="6" ht="24" customHeight="1" spans="1:8" x14ac:dyDescent="0.25">
      <c r="A6" s="12"/>
      <c r="B6" s="13">
        <v>3</v>
      </c>
      <c r="C6" s="14" t="s">
        <v>37</v>
      </c>
      <c r="D6" s="15"/>
      <c r="E6" s="16">
        <v>0.05</v>
      </c>
      <c r="F6" s="17">
        <f>IF(D6="","",D6*E6)</f>
      </c>
      <c r="G6" s="12"/>
      <c r="H6" s="18" t="s">
        <v>38</v>
      </c>
    </row>
    <row r="7" ht="24" customHeight="1" spans="1:8" x14ac:dyDescent="0.25">
      <c r="A7" s="19"/>
      <c r="B7" s="20">
        <v>4</v>
      </c>
      <c r="C7" s="21" t="s">
        <v>39</v>
      </c>
      <c r="D7" s="15"/>
      <c r="E7" s="22">
        <v>0.08</v>
      </c>
      <c r="F7" s="23">
        <f>IF(D7="","",D7*E7)</f>
      </c>
      <c r="G7" s="19"/>
      <c r="H7" s="24" t="s">
        <v>40</v>
      </c>
    </row>
    <row r="8" ht="24" customHeight="1" spans="1:8" x14ac:dyDescent="0.25">
      <c r="A8" s="12"/>
      <c r="B8" s="13">
        <v>5</v>
      </c>
      <c r="C8" s="14" t="s">
        <v>41</v>
      </c>
      <c r="D8" s="25">
        <f>'Property Info'!F14</f>
      </c>
      <c r="E8" s="16">
        <v>0.1</v>
      </c>
      <c r="F8" s="17">
        <f>IF(D8="","",D8*E8)</f>
      </c>
      <c r="G8" s="12"/>
      <c r="H8" s="18" t="s">
        <v>42</v>
      </c>
    </row>
    <row r="9" ht="24" customHeight="1" spans="1:8" x14ac:dyDescent="0.25">
      <c r="A9" s="19"/>
      <c r="B9" s="20">
        <v>6</v>
      </c>
      <c r="C9" s="21" t="s">
        <v>11</v>
      </c>
      <c r="D9" s="15"/>
      <c r="E9" s="22">
        <v>0.07</v>
      </c>
      <c r="F9" s="23">
        <f>IF(D9="","",D9*E9)</f>
      </c>
      <c r="G9" s="19"/>
      <c r="H9" s="24" t="s">
        <v>43</v>
      </c>
    </row>
    <row r="10" ht="24" customHeight="1" spans="1:8" x14ac:dyDescent="0.25">
      <c r="A10" s="12"/>
      <c r="B10" s="13">
        <v>7</v>
      </c>
      <c r="C10" s="14" t="s">
        <v>44</v>
      </c>
      <c r="D10" s="15"/>
      <c r="E10" s="16">
        <v>0.06</v>
      </c>
      <c r="F10" s="17">
        <f>IF(D10="","",D10*E10)</f>
      </c>
      <c r="G10" s="12"/>
      <c r="H10" s="18" t="s">
        <v>45</v>
      </c>
    </row>
    <row r="11" ht="24" customHeight="1" spans="1:8" x14ac:dyDescent="0.25">
      <c r="A11" s="19"/>
      <c r="B11" s="20">
        <v>8</v>
      </c>
      <c r="C11" s="21" t="s">
        <v>46</v>
      </c>
      <c r="D11" s="15"/>
      <c r="E11" s="22">
        <v>0.1</v>
      </c>
      <c r="F11" s="23">
        <f>IF(D11="","",D11*E11)</f>
      </c>
      <c r="G11" s="19"/>
      <c r="H11" s="24" t="s">
        <v>47</v>
      </c>
    </row>
    <row r="12" ht="24" customHeight="1" spans="1:8" x14ac:dyDescent="0.25">
      <c r="A12" s="12"/>
      <c r="B12" s="13">
        <v>9</v>
      </c>
      <c r="C12" s="14" t="s">
        <v>48</v>
      </c>
      <c r="D12" s="15"/>
      <c r="E12" s="16">
        <v>0.07</v>
      </c>
      <c r="F12" s="17">
        <f>IF(D12="","",D12*E12)</f>
      </c>
      <c r="G12" s="12"/>
      <c r="H12" s="18" t="s">
        <v>49</v>
      </c>
    </row>
    <row r="13" ht="24" customHeight="1" spans="1:8" x14ac:dyDescent="0.25">
      <c r="A13" s="19"/>
      <c r="B13" s="20">
        <v>10</v>
      </c>
      <c r="C13" s="21" t="s">
        <v>50</v>
      </c>
      <c r="D13" s="26">
        <f>'Property Info'!C15</f>
      </c>
      <c r="E13" s="22">
        <v>0.08</v>
      </c>
      <c r="F13" s="23">
        <f>IF(D13="","",D13*E13)</f>
      </c>
      <c r="G13" s="19"/>
      <c r="H13" s="24" t="s">
        <v>51</v>
      </c>
    </row>
    <row r="14" ht="24" customHeight="1" spans="1:8" x14ac:dyDescent="0.25">
      <c r="A14" s="12"/>
      <c r="B14" s="13">
        <v>11</v>
      </c>
      <c r="C14" s="14" t="s">
        <v>52</v>
      </c>
      <c r="D14" s="25">
        <f>'Property Info'!F15</f>
      </c>
      <c r="E14" s="16">
        <v>0.07</v>
      </c>
      <c r="F14" s="17">
        <f>IF(D14="","",D14*E14)</f>
      </c>
      <c r="G14" s="12"/>
      <c r="H14" s="18" t="s">
        <v>53</v>
      </c>
    </row>
    <row r="15" ht="24" customHeight="1" spans="1:8" x14ac:dyDescent="0.25">
      <c r="A15" s="19"/>
      <c r="B15" s="20">
        <v>12</v>
      </c>
      <c r="C15" s="21" t="s">
        <v>54</v>
      </c>
      <c r="D15" s="15"/>
      <c r="E15" s="22">
        <v>0.05</v>
      </c>
      <c r="F15" s="23">
        <f>IF(D15="","",D15*E15)</f>
      </c>
      <c r="G15" s="19"/>
      <c r="H15" s="24" t="s">
        <v>55</v>
      </c>
    </row>
    <row r="16" ht="24" customHeight="1" spans="1:8" x14ac:dyDescent="0.25">
      <c r="A16" s="12"/>
      <c r="B16" s="13">
        <v>13</v>
      </c>
      <c r="C16" s="14" t="s">
        <v>56</v>
      </c>
      <c r="D16" s="15"/>
      <c r="E16" s="16">
        <v>0.05</v>
      </c>
      <c r="F16" s="17">
        <f>IF(D16="","",D16*E16)</f>
      </c>
      <c r="G16" s="12"/>
      <c r="H16" s="18" t="s">
        <v>57</v>
      </c>
    </row>
    <row r="18" ht="32" customHeight="1" spans="2:8" x14ac:dyDescent="0.25">
      <c r="B18" s="27" t="s">
        <v>58</v>
      </c>
      <c r="C18" s="27"/>
      <c r="D18" s="28">
        <f>IF(COUNTA(D4:D16)=13,ROUND(SUM(F4:F16),2),"Incomplete")</f>
      </c>
      <c r="E18" s="29"/>
      <c r="F18" s="29"/>
      <c r="G18" s="29"/>
      <c r="H18" s="29"/>
    </row>
    <row r="19" ht="32" customHeight="1" spans="2:8" x14ac:dyDescent="0.25">
      <c r="B19" s="30" t="s">
        <v>59</v>
      </c>
      <c r="C19" s="30"/>
      <c r="D19" s="31">
        <f>IF(D18="Incomplete","—",IF(D18&lt;=1.5,"A+",IF(D18&lt;=2,"A",IF(D18&lt;=2.5,"B+",IF(D18&lt;=3,"B",IF(D18&lt;=3.5,"C+",IF(D18&lt;=4,"C","D")))))))</f>
      </c>
      <c r="E19" s="32"/>
      <c r="F19" s="32"/>
      <c r="G19" s="32"/>
      <c r="H19" s="32"/>
    </row>
    <row r="20" ht="26" customHeight="1" spans="2:8" x14ac:dyDescent="0.25">
      <c r="B20" s="33" t="s">
        <v>60</v>
      </c>
      <c r="C20" s="33"/>
      <c r="D20" s="34">
        <f>IF(D18="Incomplete","—",IF(D18&lt;=2.5,"BIND - Standard",IF(D18&lt;=3,"BIND - Review Pricing",IF(D18&lt;=3.5,"REFER - Senior UW",IF(D18&lt;=4,"REFER - Committee","DECLINE")))))</f>
      </c>
      <c r="E20" s="32"/>
      <c r="F20" s="32"/>
      <c r="G20" s="32"/>
      <c r="H20" s="32"/>
    </row>
    <row r="21" ht="26" customHeight="1" spans="2:8" x14ac:dyDescent="0.25">
      <c r="B21" s="33" t="s">
        <v>61</v>
      </c>
      <c r="C21" s="33"/>
      <c r="D21" s="35">
        <f>IF(D18="Incomplete","—",IF(D18&lt;=1.5,-0.15,IF(D18&lt;=2,-0.1,IF(D18&lt;=2.5,-0.05,IF(D18&lt;=3,0,IF(D18&lt;=3.5,0.1,IF(D18&lt;=4,0.2,0.35)))))))</f>
      </c>
      <c r="E21" s="32"/>
      <c r="F21" s="32"/>
      <c r="G21" s="32"/>
      <c r="H21" s="32"/>
    </row>
  </sheetData>
  <mergeCells count="6">
    <mergeCell ref="A1:H1"/>
    <mergeCell ref="B18:C18"/>
    <mergeCell ref="B19:C19"/>
    <mergeCell ref="B20:C20"/>
    <mergeCell ref="E20:F20"/>
    <mergeCell ref="B21:C21"/>
  </mergeCells>
  <conditionalFormatting sqref="D4:D16">
    <cfRule type="cellIs" dxfId="0" priority="1" operator="between">
      <formula>1</formula>
      <formula>2</formula>
    </cfRule>
    <cfRule type="cellIs" dxfId="1" priority="2" operator="between">
      <formula>3</formula>
      <formula>3</formula>
    </cfRule>
    <cfRule type="cellIs" dxfId="2" priority="3" operator="between">
      <formula>4</formula>
      <formula>5</formula>
    </cfRule>
  </conditionalFormatting>
  <dataValidations count="4">
    <dataValidation type="whole" showInputMessage="1" promptTitle="Enter Score" prompt="Enter a score from 1 (best) to 5 (worst)" showErrorMessage="1" errorTitle="Invalid Score" error="Score must be between 1 and 5" sqref="D10:D12">
      <formula1>1</formula1>
      <formula2>5</formula2>
    </dataValidation>
    <dataValidation type="whole" showInputMessage="1" promptTitle="Enter Score" prompt="Enter a score from 1 (best) to 5 (worst)" showErrorMessage="1" errorTitle="Invalid Score" error="Score must be between 1 and 5" sqref="D15:D16">
      <formula1>1</formula1>
      <formula2>5</formula2>
    </dataValidation>
    <dataValidation type="whole" showInputMessage="1" promptTitle="Enter Score" prompt="Enter a score from 1 (best) to 5 (worst)" showErrorMessage="1" errorTitle="Invalid Score" error="Score must be between 1 and 5" sqref="D4:D7">
      <formula1>1</formula1>
      <formula2>5</formula2>
    </dataValidation>
    <dataValidation type="whole" showInputMessage="1" promptTitle="Enter Score" prompt="Enter a score from 1 (best) to 5 (worst)" showErrorMessage="1" errorTitle="Invalid Score" error="Score must be between 1 and 5" sqref="D9:D12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980B9"/>
  </sheetPr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28" customWidth="1"/>
    <col min="4" max="4" width="12" customWidth="1"/>
    <col min="5" max="5" width="10" customWidth="1"/>
    <col min="6" max="6" width="14" customWidth="1"/>
    <col min="7" max="7" width="3" customWidth="1"/>
    <col min="8" max="8" width="60" customWidth="1"/>
  </cols>
  <sheetData>
    <row r="1" ht="36" customHeight="1" spans="1:8" x14ac:dyDescent="0.25">
      <c r="A1" s="36" t="s">
        <v>62</v>
      </c>
      <c r="B1" s="36"/>
      <c r="C1" s="36"/>
      <c r="D1" s="36"/>
      <c r="E1" s="36"/>
      <c r="F1" s="36"/>
      <c r="G1" s="36"/>
      <c r="H1" s="36"/>
    </row>
    <row r="3" ht="26" customHeight="1" spans="1:8" x14ac:dyDescent="0.25">
      <c r="A3" s="37" t="s">
        <v>21</v>
      </c>
      <c r="B3" s="37" t="s">
        <v>27</v>
      </c>
      <c r="C3" s="37" t="s">
        <v>28</v>
      </c>
      <c r="D3" s="37" t="s">
        <v>29</v>
      </c>
      <c r="E3" s="37" t="s">
        <v>30</v>
      </c>
      <c r="F3" s="37" t="s">
        <v>31</v>
      </c>
      <c r="G3" s="37" t="s">
        <v>21</v>
      </c>
      <c r="H3" s="37" t="s">
        <v>32</v>
      </c>
    </row>
    <row r="4" ht="24" customHeight="1" spans="1:8" x14ac:dyDescent="0.25">
      <c r="A4" s="12"/>
      <c r="B4" s="13">
        <v>1</v>
      </c>
      <c r="C4" s="14" t="s">
        <v>41</v>
      </c>
      <c r="D4" s="38">
        <f>'Property Info'!F14</f>
      </c>
      <c r="E4" s="16">
        <v>0.12</v>
      </c>
      <c r="F4" s="17">
        <f>IF(D4="","",D4*E4)</f>
      </c>
      <c r="G4" s="12"/>
      <c r="H4" s="18" t="s">
        <v>42</v>
      </c>
    </row>
    <row r="5" ht="24" customHeight="1" spans="1:8" x14ac:dyDescent="0.25">
      <c r="A5" s="19"/>
      <c r="B5" s="20">
        <v>2</v>
      </c>
      <c r="C5" s="21" t="s">
        <v>11</v>
      </c>
      <c r="D5" s="39"/>
      <c r="E5" s="22">
        <v>0.1</v>
      </c>
      <c r="F5" s="23">
        <f>IF(D5="","",D5*E5)</f>
      </c>
      <c r="G5" s="19"/>
      <c r="H5" s="24" t="s">
        <v>43</v>
      </c>
    </row>
    <row r="6" ht="24" customHeight="1" spans="1:8" x14ac:dyDescent="0.25">
      <c r="A6" s="12"/>
      <c r="B6" s="13">
        <v>3</v>
      </c>
      <c r="C6" s="14" t="s">
        <v>50</v>
      </c>
      <c r="D6" s="38">
        <f>'Property Info'!C15</f>
      </c>
      <c r="E6" s="16">
        <v>0.12</v>
      </c>
      <c r="F6" s="17">
        <f>IF(D6="","",D6*E6)</f>
      </c>
      <c r="G6" s="12"/>
      <c r="H6" s="18" t="s">
        <v>51</v>
      </c>
    </row>
    <row r="7" ht="24" customHeight="1" spans="1:8" x14ac:dyDescent="0.25">
      <c r="A7" s="19"/>
      <c r="B7" s="20">
        <v>4</v>
      </c>
      <c r="C7" s="21" t="s">
        <v>52</v>
      </c>
      <c r="D7" s="40">
        <f>'Property Info'!F15</f>
      </c>
      <c r="E7" s="22">
        <v>0.08</v>
      </c>
      <c r="F7" s="23">
        <f>IF(D7="","",D7*E7)</f>
      </c>
      <c r="G7" s="19"/>
      <c r="H7" s="24" t="s">
        <v>53</v>
      </c>
    </row>
    <row r="8" ht="24" customHeight="1" spans="1:8" x14ac:dyDescent="0.25">
      <c r="A8" s="12"/>
      <c r="B8" s="13">
        <v>5</v>
      </c>
      <c r="C8" s="14" t="s">
        <v>44</v>
      </c>
      <c r="D8" s="39"/>
      <c r="E8" s="16">
        <v>0.1</v>
      </c>
      <c r="F8" s="17">
        <f>IF(D8="","",D8*E8)</f>
      </c>
      <c r="G8" s="12"/>
      <c r="H8" s="18" t="s">
        <v>45</v>
      </c>
    </row>
    <row r="9" ht="24" customHeight="1" spans="1:8" x14ac:dyDescent="0.25">
      <c r="A9" s="19"/>
      <c r="B9" s="20">
        <v>6</v>
      </c>
      <c r="C9" s="21" t="s">
        <v>63</v>
      </c>
      <c r="D9" s="39"/>
      <c r="E9" s="22">
        <v>0.08</v>
      </c>
      <c r="F9" s="23">
        <f>IF(D9="","",D9*E9)</f>
      </c>
      <c r="G9" s="19"/>
      <c r="H9" s="24" t="s">
        <v>64</v>
      </c>
    </row>
    <row r="10" ht="24" customHeight="1" spans="1:8" x14ac:dyDescent="0.25">
      <c r="A10" s="12"/>
      <c r="B10" s="13">
        <v>7</v>
      </c>
      <c r="C10" s="14" t="s">
        <v>65</v>
      </c>
      <c r="D10" s="39"/>
      <c r="E10" s="16">
        <v>0.08</v>
      </c>
      <c r="F10" s="17">
        <f>IF(D10="","",D10*E10)</f>
      </c>
      <c r="G10" s="12"/>
      <c r="H10" s="18" t="s">
        <v>66</v>
      </c>
    </row>
    <row r="11" ht="24" customHeight="1" spans="1:8" x14ac:dyDescent="0.25">
      <c r="A11" s="19"/>
      <c r="B11" s="20">
        <v>8</v>
      </c>
      <c r="C11" s="21" t="s">
        <v>46</v>
      </c>
      <c r="D11" s="39"/>
      <c r="E11" s="22">
        <v>0.1</v>
      </c>
      <c r="F11" s="23">
        <f>IF(D11="","",D11*E11)</f>
      </c>
      <c r="G11" s="19"/>
      <c r="H11" s="24" t="s">
        <v>47</v>
      </c>
    </row>
    <row r="12" ht="24" customHeight="1" spans="1:8" x14ac:dyDescent="0.25">
      <c r="A12" s="12"/>
      <c r="B12" s="13">
        <v>9</v>
      </c>
      <c r="C12" s="14" t="s">
        <v>54</v>
      </c>
      <c r="D12" s="39"/>
      <c r="E12" s="16">
        <v>0.07</v>
      </c>
      <c r="F12" s="17">
        <f>IF(D12="","",D12*E12)</f>
      </c>
      <c r="G12" s="12"/>
      <c r="H12" s="18" t="s">
        <v>55</v>
      </c>
    </row>
    <row r="13" ht="24" customHeight="1" spans="1:8" x14ac:dyDescent="0.25">
      <c r="A13" s="19"/>
      <c r="B13" s="20">
        <v>10</v>
      </c>
      <c r="C13" s="21" t="s">
        <v>56</v>
      </c>
      <c r="D13" s="39"/>
      <c r="E13" s="22">
        <v>0.08</v>
      </c>
      <c r="F13" s="23">
        <f>IF(D13="","",D13*E13)</f>
      </c>
      <c r="G13" s="19"/>
      <c r="H13" s="24" t="s">
        <v>57</v>
      </c>
    </row>
    <row r="14" ht="24" customHeight="1" spans="1:8" x14ac:dyDescent="0.25">
      <c r="A14" s="12"/>
      <c r="B14" s="13">
        <v>11</v>
      </c>
      <c r="C14" s="14" t="s">
        <v>67</v>
      </c>
      <c r="D14" s="39"/>
      <c r="E14" s="16">
        <v>0.07</v>
      </c>
      <c r="F14" s="17">
        <f>IF(D14="","",D14*E14)</f>
      </c>
      <c r="G14" s="12"/>
      <c r="H14" s="18" t="s">
        <v>68</v>
      </c>
    </row>
    <row r="16" ht="32" customHeight="1" spans="2:8" x14ac:dyDescent="0.25">
      <c r="B16" s="41" t="s">
        <v>58</v>
      </c>
      <c r="C16" s="41"/>
      <c r="D16" s="42">
        <f>IF(COUNTA(D4:D14)=11,ROUND(SUM(F4:F14),2),"Incomplete")</f>
      </c>
      <c r="E16" s="43"/>
      <c r="F16" s="43"/>
      <c r="G16" s="43"/>
      <c r="H16" s="43"/>
    </row>
    <row r="17" ht="32" customHeight="1" spans="2:8" x14ac:dyDescent="0.25">
      <c r="B17" s="30" t="s">
        <v>59</v>
      </c>
      <c r="C17" s="30"/>
      <c r="D17" s="31">
        <f>IF(D16="Incomplete","—",IF(D16&lt;=1.5,"A+",IF(D16&lt;=2,"A",IF(D16&lt;=2.5,"B+",IF(D16&lt;=3,"B",IF(D16&lt;=3.5,"C+",IF(D16&lt;=4,"C","D")))))))</f>
      </c>
      <c r="E17" s="32"/>
      <c r="F17" s="32"/>
      <c r="G17" s="32"/>
      <c r="H17" s="32"/>
    </row>
    <row r="18" ht="26" customHeight="1" spans="2:8" x14ac:dyDescent="0.25">
      <c r="B18" s="33" t="s">
        <v>60</v>
      </c>
      <c r="C18" s="33"/>
      <c r="D18" s="34">
        <f>IF(D16="Incomplete","—",IF(D16&lt;=2.5,"BIND - Standard",IF(D16&lt;=3,"BIND - Review Pricing",IF(D16&lt;=3.5,"REFER - Senior UW",IF(D16&lt;=4,"REFER - Committee","DECLINE")))))</f>
      </c>
      <c r="E18" s="32"/>
      <c r="F18" s="32"/>
      <c r="G18" s="32"/>
      <c r="H18" s="32"/>
    </row>
    <row r="19" ht="26" customHeight="1" spans="2:8" x14ac:dyDescent="0.25">
      <c r="B19" s="33" t="s">
        <v>61</v>
      </c>
      <c r="C19" s="33"/>
      <c r="D19" s="35">
        <f>IF(D16="Incomplete","—",IF(D16&lt;=1.5,-0.15,IF(D16&lt;=2,-0.1,IF(D16&lt;=2.5,-0.05,IF(D16&lt;=3,0,IF(D16&lt;=3.5,0.1,IF(D16&lt;=4,0.2,0.35)))))))</f>
      </c>
      <c r="E19" s="32"/>
      <c r="F19" s="32"/>
      <c r="G19" s="32"/>
      <c r="H19" s="32"/>
    </row>
  </sheetData>
  <mergeCells count="6">
    <mergeCell ref="A1:H1"/>
    <mergeCell ref="B16:C16"/>
    <mergeCell ref="B17:C17"/>
    <mergeCell ref="B18:C18"/>
    <mergeCell ref="E18:F18"/>
    <mergeCell ref="B19:C19"/>
  </mergeCells>
  <conditionalFormatting sqref="D4:D14">
    <cfRule type="cellIs" dxfId="3" priority="1" operator="between">
      <formula>1</formula>
      <formula>2</formula>
    </cfRule>
    <cfRule type="cellIs" dxfId="4" priority="2" operator="between">
      <formula>3</formula>
      <formula>3</formula>
    </cfRule>
    <cfRule type="cellIs" dxfId="5" priority="3" operator="between">
      <formula>4</formula>
      <formula>5</formula>
    </cfRule>
  </conditionalFormatting>
  <dataValidations count="3">
    <dataValidation type="whole" showInputMessage="1" promptTitle="Enter Score" prompt="Enter a score from 1 (best) to 5 (worst)" showErrorMessage="1" errorTitle="Invalid Score" error="Score must be between 1 and 5" sqref="D10:D14">
      <formula1>1</formula1>
      <formula2>5</formula2>
    </dataValidation>
    <dataValidation type="whole" showInputMessage="1" promptTitle="Enter Score" prompt="Enter a score from 1 (best) to 5 (worst)" showErrorMessage="1" errorTitle="Invalid Score" error="Score must be between 1 and 5" sqref="D5">
      <formula1>1</formula1>
      <formula2>5</formula2>
    </dataValidation>
    <dataValidation type="whole" showInputMessage="1" promptTitle="Enter Score" prompt="Enter a score from 1 (best) to 5 (worst)" showErrorMessage="1" errorTitle="Invalid Score" error="Score must be between 1 and 5" sqref="D8:D14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39C12"/>
  </sheetPr>
  <dimension ref="A1:F34"/>
  <sheetFormatPr defaultRowHeight="15" outlineLevelRow="0" outlineLevelCol="0" x14ac:dyDescent="55"/>
  <cols>
    <col min="1" max="1" width="3" customWidth="1"/>
    <col min="2" max="2" width="10" customWidth="1"/>
    <col min="3" max="3" width="15" customWidth="1"/>
    <col min="4" max="4" width="18" customWidth="1"/>
    <col min="5" max="5" width="30" customWidth="1"/>
    <col min="6" max="6" width="18" customWidth="1"/>
  </cols>
  <sheetData>
    <row r="1" ht="36" customHeight="1" spans="1:6" x14ac:dyDescent="0.25">
      <c r="A1" s="1" t="s">
        <v>69</v>
      </c>
      <c r="B1" s="1"/>
      <c r="C1" s="1"/>
      <c r="D1" s="1"/>
      <c r="E1" s="1"/>
      <c r="F1" s="1"/>
    </row>
    <row r="3" ht="26" customHeight="1" spans="1:6" x14ac:dyDescent="0.25">
      <c r="A3" s="11" t="s">
        <v>21</v>
      </c>
      <c r="B3" s="11" t="s">
        <v>70</v>
      </c>
      <c r="C3" s="11" t="s">
        <v>71</v>
      </c>
      <c r="D3" s="11" t="s">
        <v>72</v>
      </c>
      <c r="E3" s="11" t="s">
        <v>73</v>
      </c>
      <c r="F3" s="11" t="s">
        <v>74</v>
      </c>
    </row>
    <row r="4" ht="26" customHeight="1" spans="1:6" x14ac:dyDescent="0.25">
      <c r="A4" s="44"/>
      <c r="B4" s="45" t="s">
        <v>75</v>
      </c>
      <c r="C4" s="46" t="s">
        <v>76</v>
      </c>
      <c r="D4" s="47" t="s">
        <v>77</v>
      </c>
      <c r="E4" s="48" t="s">
        <v>78</v>
      </c>
      <c r="F4" s="49" t="s">
        <v>79</v>
      </c>
    </row>
    <row r="5" ht="26" customHeight="1" spans="1:6" x14ac:dyDescent="0.25">
      <c r="A5" s="44"/>
      <c r="B5" s="45" t="s">
        <v>80</v>
      </c>
      <c r="C5" s="46" t="s">
        <v>81</v>
      </c>
      <c r="D5" s="47" t="s">
        <v>82</v>
      </c>
      <c r="E5" s="48" t="s">
        <v>78</v>
      </c>
      <c r="F5" s="49" t="s">
        <v>83</v>
      </c>
    </row>
    <row r="6" ht="26" customHeight="1" spans="1:6" x14ac:dyDescent="0.25">
      <c r="A6" s="44"/>
      <c r="B6" s="45" t="s">
        <v>84</v>
      </c>
      <c r="C6" s="46" t="s">
        <v>85</v>
      </c>
      <c r="D6" s="47" t="s">
        <v>86</v>
      </c>
      <c r="E6" s="48" t="s">
        <v>87</v>
      </c>
      <c r="F6" s="49" t="s">
        <v>88</v>
      </c>
    </row>
    <row r="7" ht="26" customHeight="1" spans="1:6" x14ac:dyDescent="0.25">
      <c r="A7" s="50"/>
      <c r="B7" s="51" t="s">
        <v>89</v>
      </c>
      <c r="C7" s="52" t="s">
        <v>90</v>
      </c>
      <c r="D7" s="53" t="s">
        <v>91</v>
      </c>
      <c r="E7" s="54" t="s">
        <v>87</v>
      </c>
      <c r="F7" s="55" t="s">
        <v>92</v>
      </c>
    </row>
    <row r="8" ht="26" customHeight="1" spans="1:6" x14ac:dyDescent="0.25">
      <c r="A8" s="50"/>
      <c r="B8" s="51" t="s">
        <v>93</v>
      </c>
      <c r="C8" s="52" t="s">
        <v>94</v>
      </c>
      <c r="D8" s="53" t="s">
        <v>95</v>
      </c>
      <c r="E8" s="54" t="s">
        <v>96</v>
      </c>
      <c r="F8" s="55" t="s">
        <v>97</v>
      </c>
    </row>
    <row r="9" ht="26" customHeight="1" spans="1:6" x14ac:dyDescent="0.25">
      <c r="A9" s="56"/>
      <c r="B9" s="57" t="s">
        <v>98</v>
      </c>
      <c r="C9" s="58" t="s">
        <v>99</v>
      </c>
      <c r="D9" s="59" t="s">
        <v>100</v>
      </c>
      <c r="E9" s="60" t="s">
        <v>101</v>
      </c>
      <c r="F9" s="61" t="s">
        <v>102</v>
      </c>
    </row>
    <row r="10" ht="26" customHeight="1" spans="1:6" x14ac:dyDescent="0.25">
      <c r="A10" s="56"/>
      <c r="B10" s="57" t="s">
        <v>103</v>
      </c>
      <c r="C10" s="58" t="s">
        <v>104</v>
      </c>
      <c r="D10" s="59" t="s">
        <v>105</v>
      </c>
      <c r="E10" s="60" t="s">
        <v>106</v>
      </c>
      <c r="F10" s="61" t="s">
        <v>107</v>
      </c>
    </row>
    <row r="13" ht="28" customHeight="1" spans="1:6" x14ac:dyDescent="0.25">
      <c r="A13" s="62" t="s">
        <v>108</v>
      </c>
      <c r="B13" s="62"/>
      <c r="C13" s="62"/>
      <c r="D13" s="62"/>
      <c r="E13" s="62"/>
      <c r="F13" s="62"/>
    </row>
    <row r="15" spans="2:4" x14ac:dyDescent="0.25">
      <c r="B15" s="63" t="s">
        <v>109</v>
      </c>
      <c r="C15" s="63"/>
      <c r="D15" s="63"/>
    </row>
    <row r="16" spans="2:4" x14ac:dyDescent="0.25">
      <c r="B16" s="64" t="s">
        <v>110</v>
      </c>
      <c r="C16" s="65" t="s">
        <v>111</v>
      </c>
      <c r="D16" s="66">
        <v>1</v>
      </c>
    </row>
    <row r="17" spans="2:4" x14ac:dyDescent="0.25">
      <c r="B17" s="67" t="s">
        <v>112</v>
      </c>
      <c r="C17" s="68" t="s">
        <v>111</v>
      </c>
      <c r="D17" s="69">
        <v>2</v>
      </c>
    </row>
    <row r="18" spans="2:4" x14ac:dyDescent="0.25">
      <c r="B18" s="64" t="s">
        <v>113</v>
      </c>
      <c r="C18" s="65" t="s">
        <v>111</v>
      </c>
      <c r="D18" s="66">
        <v>3</v>
      </c>
    </row>
    <row r="19" spans="2:4" x14ac:dyDescent="0.25">
      <c r="B19" s="67" t="s">
        <v>114</v>
      </c>
      <c r="C19" s="68" t="s">
        <v>111</v>
      </c>
      <c r="D19" s="69">
        <v>4</v>
      </c>
    </row>
    <row r="20" spans="2:4" x14ac:dyDescent="0.25">
      <c r="B20" s="64" t="s">
        <v>115</v>
      </c>
      <c r="C20" s="65" t="s">
        <v>111</v>
      </c>
      <c r="D20" s="66">
        <v>5</v>
      </c>
    </row>
    <row r="22" spans="2:4" x14ac:dyDescent="0.25">
      <c r="B22" s="63" t="s">
        <v>116</v>
      </c>
      <c r="C22" s="63"/>
      <c r="D22" s="63"/>
    </row>
    <row r="23" spans="2:4" x14ac:dyDescent="0.25">
      <c r="B23" s="64" t="s">
        <v>117</v>
      </c>
      <c r="C23" s="65" t="s">
        <v>111</v>
      </c>
      <c r="D23" s="66">
        <v>1</v>
      </c>
    </row>
    <row r="24" spans="2:4" x14ac:dyDescent="0.25">
      <c r="B24" s="67" t="s">
        <v>118</v>
      </c>
      <c r="C24" s="68" t="s">
        <v>111</v>
      </c>
      <c r="D24" s="69">
        <v>2</v>
      </c>
    </row>
    <row r="25" spans="2:4" x14ac:dyDescent="0.25">
      <c r="B25" s="64" t="s">
        <v>119</v>
      </c>
      <c r="C25" s="65" t="s">
        <v>111</v>
      </c>
      <c r="D25" s="66">
        <v>3</v>
      </c>
    </row>
    <row r="26" spans="2:4" x14ac:dyDescent="0.25">
      <c r="B26" s="67" t="s">
        <v>120</v>
      </c>
      <c r="C26" s="68" t="s">
        <v>111</v>
      </c>
      <c r="D26" s="69">
        <v>4</v>
      </c>
    </row>
    <row r="27" spans="2:4" x14ac:dyDescent="0.25">
      <c r="B27" s="64" t="s">
        <v>121</v>
      </c>
      <c r="C27" s="65" t="s">
        <v>111</v>
      </c>
      <c r="D27" s="66">
        <v>5</v>
      </c>
    </row>
    <row r="29" spans="2:4" x14ac:dyDescent="0.25">
      <c r="B29" s="63" t="s">
        <v>122</v>
      </c>
      <c r="C29" s="63"/>
      <c r="D29" s="63"/>
    </row>
    <row r="30" spans="2:4" x14ac:dyDescent="0.25">
      <c r="B30" s="64" t="s">
        <v>123</v>
      </c>
      <c r="C30" s="65" t="s">
        <v>111</v>
      </c>
      <c r="D30" s="66">
        <v>1</v>
      </c>
    </row>
    <row r="31" spans="2:4" x14ac:dyDescent="0.25">
      <c r="B31" s="67" t="s">
        <v>124</v>
      </c>
      <c r="C31" s="68" t="s">
        <v>111</v>
      </c>
      <c r="D31" s="69">
        <v>2</v>
      </c>
    </row>
    <row r="32" spans="2:4" x14ac:dyDescent="0.25">
      <c r="B32" s="64" t="s">
        <v>125</v>
      </c>
      <c r="C32" s="65" t="s">
        <v>111</v>
      </c>
      <c r="D32" s="66">
        <v>3</v>
      </c>
    </row>
    <row r="33" spans="2:4" x14ac:dyDescent="0.25">
      <c r="B33" s="67" t="s">
        <v>126</v>
      </c>
      <c r="C33" s="68" t="s">
        <v>111</v>
      </c>
      <c r="D33" s="69">
        <v>4</v>
      </c>
    </row>
    <row r="34" spans="2:4" x14ac:dyDescent="0.25">
      <c r="B34" s="64" t="s">
        <v>127</v>
      </c>
      <c r="C34" s="65" t="s">
        <v>111</v>
      </c>
      <c r="D34" s="66">
        <v>5</v>
      </c>
    </row>
  </sheetData>
  <mergeCells count="5">
    <mergeCell ref="A1:F1"/>
    <mergeCell ref="A13:F13"/>
    <mergeCell ref="B15:D15"/>
    <mergeCell ref="B22:D22"/>
    <mergeCell ref="B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E44AD"/>
  </sheetPr>
  <dimension ref="A1:G5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2" customWidth="1"/>
    <col min="3" max="3" width="10" customWidth="1"/>
    <col min="4" max="7" width="14" customWidth="1"/>
  </cols>
  <sheetData>
    <row r="1" ht="36" customHeight="1" spans="1:7" x14ac:dyDescent="0.25">
      <c r="A1" s="70" t="s">
        <v>128</v>
      </c>
      <c r="B1" s="70"/>
      <c r="C1" s="70"/>
      <c r="D1" s="70"/>
      <c r="E1" s="70"/>
      <c r="F1" s="70"/>
      <c r="G1" s="70"/>
    </row>
    <row r="2" ht="26" customHeight="1" spans="1:7" x14ac:dyDescent="0.25">
      <c r="A2" s="71" t="s">
        <v>27</v>
      </c>
      <c r="B2" s="71" t="s">
        <v>6</v>
      </c>
      <c r="C2" s="71" t="s">
        <v>129</v>
      </c>
      <c r="D2" s="71" t="s">
        <v>130</v>
      </c>
      <c r="E2" s="71" t="s">
        <v>131</v>
      </c>
      <c r="F2" s="71" t="s">
        <v>132</v>
      </c>
      <c r="G2" s="71" t="s">
        <v>133</v>
      </c>
    </row>
    <row r="3" spans="1:7" x14ac:dyDescent="0.25">
      <c r="A3" s="72">
        <v>1</v>
      </c>
      <c r="B3" s="64" t="s">
        <v>134</v>
      </c>
      <c r="C3" s="13">
        <v>1</v>
      </c>
      <c r="D3" s="17">
        <v>4</v>
      </c>
      <c r="E3" s="73">
        <v>32.4415</v>
      </c>
      <c r="F3" s="73">
        <v>-99.756</v>
      </c>
      <c r="G3" s="66">
        <f>IF(C3=3,IF(D3&gt;=8,5,4),IF(C3=2,IF(D3&gt;=7,3,2),1))</f>
      </c>
    </row>
    <row r="4" spans="1:7" x14ac:dyDescent="0.25">
      <c r="A4" s="74">
        <v>2</v>
      </c>
      <c r="B4" s="67" t="s">
        <v>135</v>
      </c>
      <c r="C4" s="20">
        <v>1</v>
      </c>
      <c r="D4" s="23">
        <v>2.7</v>
      </c>
      <c r="E4" s="75">
        <v>33.7651</v>
      </c>
      <c r="F4" s="75">
        <v>-84.2942</v>
      </c>
      <c r="G4" s="69">
        <f>IF(C4=3,IF(D4&gt;=8,5,4),IF(C4=2,IF(D4&gt;=7,3,2),1))</f>
      </c>
    </row>
    <row r="5" spans="1:7" x14ac:dyDescent="0.25">
      <c r="A5" s="72">
        <v>3</v>
      </c>
      <c r="B5" s="64" t="s">
        <v>136</v>
      </c>
      <c r="C5" s="13">
        <v>1</v>
      </c>
      <c r="D5" s="17">
        <v>5.5</v>
      </c>
      <c r="E5" s="73">
        <v>32.3637</v>
      </c>
      <c r="F5" s="73">
        <v>-86.2968</v>
      </c>
      <c r="G5" s="66">
        <f>IF(C5=3,IF(D5&gt;=8,5,4),IF(C5=2,IF(D5&gt;=7,3,2),1))</f>
      </c>
    </row>
    <row r="6" spans="1:7" x14ac:dyDescent="0.25">
      <c r="A6" s="74">
        <v>4</v>
      </c>
      <c r="B6" s="67" t="s">
        <v>137</v>
      </c>
      <c r="C6" s="20">
        <v>1</v>
      </c>
      <c r="D6" s="23">
        <v>5.5</v>
      </c>
      <c r="E6" s="75">
        <v>31.8766</v>
      </c>
      <c r="F6" s="75">
        <v>-91.1352</v>
      </c>
      <c r="G6" s="69">
        <f>IF(C6=3,IF(D6&gt;=8,5,4),IF(C6=2,IF(D6&gt;=7,3,2),1))</f>
      </c>
    </row>
    <row r="7" spans="1:7" x14ac:dyDescent="0.25">
      <c r="A7" s="72">
        <v>5</v>
      </c>
      <c r="B7" s="64" t="s">
        <v>138</v>
      </c>
      <c r="C7" s="13">
        <v>1</v>
      </c>
      <c r="D7" s="17">
        <v>2.7</v>
      </c>
      <c r="E7" s="73">
        <v>41.6482</v>
      </c>
      <c r="F7" s="73">
        <v>-80.1467</v>
      </c>
      <c r="G7" s="66">
        <f>IF(C7=3,IF(D7&gt;=8,5,4),IF(C7=2,IF(D7&gt;=7,3,2),1))</f>
      </c>
    </row>
    <row r="8" spans="1:7" x14ac:dyDescent="0.25">
      <c r="A8" s="74">
        <v>6</v>
      </c>
      <c r="B8" s="67" t="s">
        <v>139</v>
      </c>
      <c r="C8" s="20">
        <v>1</v>
      </c>
      <c r="D8" s="23">
        <v>4</v>
      </c>
      <c r="E8" s="75">
        <v>38.9366</v>
      </c>
      <c r="F8" s="75">
        <v>-77.0874</v>
      </c>
      <c r="G8" s="69">
        <f>IF(C8=3,IF(D8&gt;=8,5,4),IF(C8=2,IF(D8&gt;=7,3,2),1))</f>
      </c>
    </row>
    <row r="9" spans="1:7" x14ac:dyDescent="0.25">
      <c r="A9" s="72">
        <v>7</v>
      </c>
      <c r="B9" s="64" t="s">
        <v>140</v>
      </c>
      <c r="C9" s="13">
        <v>1</v>
      </c>
      <c r="D9" s="17">
        <v>4</v>
      </c>
      <c r="E9" s="73">
        <v>42.371</v>
      </c>
      <c r="F9" s="73">
        <v>-72.517</v>
      </c>
      <c r="G9" s="66">
        <f>IF(C9=3,IF(D9&gt;=8,5,4),IF(C9=2,IF(D9&gt;=7,3,2),1))</f>
      </c>
    </row>
    <row r="10" spans="1:7" x14ac:dyDescent="0.25">
      <c r="A10" s="74">
        <v>8</v>
      </c>
      <c r="B10" s="67" t="s">
        <v>141</v>
      </c>
      <c r="C10" s="20">
        <v>2</v>
      </c>
      <c r="D10" s="23">
        <v>6.33</v>
      </c>
      <c r="E10" s="75">
        <v>36.214</v>
      </c>
      <c r="F10" s="75">
        <v>-81.6873</v>
      </c>
      <c r="G10" s="69">
        <f>IF(C10=3,IF(D10&gt;=8,5,4),IF(C10=2,IF(D10&gt;=7,3,2),1))</f>
      </c>
    </row>
    <row r="11" spans="1:7" x14ac:dyDescent="0.25">
      <c r="A11" s="72">
        <v>9</v>
      </c>
      <c r="B11" s="64" t="s">
        <v>142</v>
      </c>
      <c r="C11" s="13">
        <v>2</v>
      </c>
      <c r="D11" s="17">
        <v>7.38</v>
      </c>
      <c r="E11" s="73">
        <v>33.4242</v>
      </c>
      <c r="F11" s="73">
        <v>-111.9281</v>
      </c>
      <c r="G11" s="66">
        <f>IF(C11=3,IF(D11&gt;=8,5,4),IF(C11=2,IF(D11&gt;=7,3,2),1))</f>
      </c>
    </row>
    <row r="12" spans="1:7" x14ac:dyDescent="0.25">
      <c r="A12" s="74">
        <v>10</v>
      </c>
      <c r="B12" s="67" t="s">
        <v>143</v>
      </c>
      <c r="C12" s="20">
        <v>3</v>
      </c>
      <c r="D12" s="23">
        <v>7.5</v>
      </c>
      <c r="E12" s="75">
        <v>33.4242</v>
      </c>
      <c r="F12" s="75">
        <v>-111.9281</v>
      </c>
      <c r="G12" s="69">
        <f>IF(C12=3,IF(D12&gt;=8,5,4),IF(C12=2,IF(D12&gt;=7,3,2),1))</f>
      </c>
    </row>
    <row r="13" spans="1:7" x14ac:dyDescent="0.25">
      <c r="A13" s="72">
        <v>11</v>
      </c>
      <c r="B13" s="64" t="s">
        <v>144</v>
      </c>
      <c r="C13" s="13">
        <v>1</v>
      </c>
      <c r="D13" s="17">
        <v>5.5</v>
      </c>
      <c r="E13" s="73">
        <v>35.8419</v>
      </c>
      <c r="F13" s="73">
        <v>-90.6767</v>
      </c>
      <c r="G13" s="66">
        <f>IF(C13=3,IF(D13&gt;=8,5,4),IF(C13=2,IF(D13&gt;=7,3,2),1))</f>
      </c>
    </row>
    <row r="14" spans="1:7" x14ac:dyDescent="0.25">
      <c r="A14" s="74">
        <v>12</v>
      </c>
      <c r="B14" s="67" t="s">
        <v>145</v>
      </c>
      <c r="C14" s="20">
        <v>2</v>
      </c>
      <c r="D14" s="23">
        <v>7.4</v>
      </c>
      <c r="E14" s="75">
        <v>32.601</v>
      </c>
      <c r="F14" s="75">
        <v>-85.4875</v>
      </c>
      <c r="G14" s="69">
        <f>IF(C14=3,IF(D14&gt;=8,5,4),IF(C14=2,IF(D14&gt;=7,3,2),1))</f>
      </c>
    </row>
    <row r="15" spans="1:7" x14ac:dyDescent="0.25">
      <c r="A15" s="72">
        <v>13</v>
      </c>
      <c r="B15" s="64" t="s">
        <v>146</v>
      </c>
      <c r="C15" s="13">
        <v>1</v>
      </c>
      <c r="D15" s="17">
        <v>5</v>
      </c>
      <c r="E15" s="73">
        <v>32.3706</v>
      </c>
      <c r="F15" s="73">
        <v>-86.1777</v>
      </c>
      <c r="G15" s="66">
        <f>IF(C15=3,IF(D15&gt;=8,5,4),IF(C15=2,IF(D15&gt;=7,3,2),1))</f>
      </c>
    </row>
    <row r="16" spans="1:7" x14ac:dyDescent="0.25">
      <c r="A16" s="74">
        <v>14</v>
      </c>
      <c r="B16" s="67" t="s">
        <v>147</v>
      </c>
      <c r="C16" s="20">
        <v>1</v>
      </c>
      <c r="D16" s="23">
        <v>3.15</v>
      </c>
      <c r="E16" s="75">
        <v>41.5053</v>
      </c>
      <c r="F16" s="75">
        <v>-90.5503</v>
      </c>
      <c r="G16" s="69">
        <f>IF(C16=3,IF(D16&gt;=8,5,4),IF(C16=2,IF(D16&gt;=7,3,2),1))</f>
      </c>
    </row>
    <row r="17" spans="1:7" x14ac:dyDescent="0.25">
      <c r="A17" s="72">
        <v>15</v>
      </c>
      <c r="B17" s="64" t="s">
        <v>148</v>
      </c>
      <c r="C17" s="13">
        <v>1</v>
      </c>
      <c r="D17" s="17">
        <v>5.5</v>
      </c>
      <c r="E17" s="73">
        <v>36.5375</v>
      </c>
      <c r="F17" s="73">
        <v>-87.3595</v>
      </c>
      <c r="G17" s="66">
        <f>IF(C17=3,IF(D17&gt;=8,5,4),IF(C17=2,IF(D17&gt;=7,3,2),1))</f>
      </c>
    </row>
    <row r="18" spans="1:7" x14ac:dyDescent="0.25">
      <c r="A18" s="74">
        <v>16</v>
      </c>
      <c r="B18" s="67" t="s">
        <v>149</v>
      </c>
      <c r="C18" s="20">
        <v>1</v>
      </c>
      <c r="D18" s="23">
        <v>3.35</v>
      </c>
      <c r="E18" s="75">
        <v>42.2993</v>
      </c>
      <c r="F18" s="75">
        <v>-71.265</v>
      </c>
      <c r="G18" s="69">
        <f>IF(C18=3,IF(D18&gt;=8,5,4),IF(C18=2,IF(D18&gt;=7,3,2),1))</f>
      </c>
    </row>
    <row r="19" spans="1:7" x14ac:dyDescent="0.25">
      <c r="A19" s="72">
        <v>17</v>
      </c>
      <c r="B19" s="64" t="s">
        <v>150</v>
      </c>
      <c r="C19" s="13">
        <v>2</v>
      </c>
      <c r="D19" s="17">
        <v>5.95</v>
      </c>
      <c r="E19" s="73">
        <v>40.2042</v>
      </c>
      <c r="F19" s="73">
        <v>-85.4088</v>
      </c>
      <c r="G19" s="66">
        <f>IF(C19=3,IF(D19&gt;=8,5,4),IF(C19=2,IF(D19&gt;=7,3,2),1))</f>
      </c>
    </row>
    <row r="20" spans="1:7" x14ac:dyDescent="0.25">
      <c r="A20" s="74">
        <v>18</v>
      </c>
      <c r="B20" s="67" t="s">
        <v>151</v>
      </c>
      <c r="C20" s="20">
        <v>1</v>
      </c>
      <c r="D20" s="23">
        <v>3.28</v>
      </c>
      <c r="E20" s="75">
        <v>40.809</v>
      </c>
      <c r="F20" s="75">
        <v>-73.9639</v>
      </c>
      <c r="G20" s="69">
        <f>IF(C20=3,IF(D20&gt;=8,5,4),IF(C20=2,IF(D20&gt;=7,3,2),1))</f>
      </c>
    </row>
    <row r="21" spans="1:7" x14ac:dyDescent="0.25">
      <c r="A21" s="72">
        <v>19</v>
      </c>
      <c r="B21" s="64" t="s">
        <v>152</v>
      </c>
      <c r="C21" s="13">
        <v>1</v>
      </c>
      <c r="D21" s="17">
        <v>3.6</v>
      </c>
      <c r="E21" s="73">
        <v>44.1057</v>
      </c>
      <c r="F21" s="73">
        <v>-70.2068</v>
      </c>
      <c r="G21" s="66">
        <f>IF(C21=3,IF(D21&gt;=8,5,4),IF(C21=2,IF(D21&gt;=7,3,2),1))</f>
      </c>
    </row>
    <row r="22" spans="1:7" x14ac:dyDescent="0.25">
      <c r="A22" s="74">
        <v>20</v>
      </c>
      <c r="B22" s="67" t="s">
        <v>153</v>
      </c>
      <c r="C22" s="20">
        <v>2</v>
      </c>
      <c r="D22" s="23">
        <v>6.63</v>
      </c>
      <c r="E22" s="75">
        <v>31.5488</v>
      </c>
      <c r="F22" s="75">
        <v>-97.1131</v>
      </c>
      <c r="G22" s="69">
        <f>IF(C22=3,IF(D22&gt;=8,5,4),IF(C22=2,IF(D22&gt;=7,3,2),1))</f>
      </c>
    </row>
    <row r="23" spans="1:7" x14ac:dyDescent="0.25">
      <c r="A23" s="72">
        <v>21</v>
      </c>
      <c r="B23" s="64" t="s">
        <v>154</v>
      </c>
      <c r="C23" s="13">
        <v>1</v>
      </c>
      <c r="D23" s="17">
        <v>4.5</v>
      </c>
      <c r="E23" s="73">
        <v>36.1318</v>
      </c>
      <c r="F23" s="73">
        <v>-86.7932</v>
      </c>
      <c r="G23" s="66">
        <f>IF(C23=3,IF(D23&gt;=8,5,4),IF(C23=2,IF(D23&gt;=7,3,2),1))</f>
      </c>
    </row>
    <row r="24" spans="1:7" x14ac:dyDescent="0.25">
      <c r="A24" s="74">
        <v>22</v>
      </c>
      <c r="B24" s="67" t="s">
        <v>155</v>
      </c>
      <c r="C24" s="20">
        <v>1</v>
      </c>
      <c r="D24" s="23">
        <v>2.95</v>
      </c>
      <c r="E24" s="75">
        <v>42.5071</v>
      </c>
      <c r="F24" s="75">
        <v>-89.0374</v>
      </c>
      <c r="G24" s="69">
        <f>IF(C24=3,IF(D24&gt;=8,5,4),IF(C24=2,IF(D24&gt;=7,3,2),1))</f>
      </c>
    </row>
    <row r="25" spans="1:7" x14ac:dyDescent="0.25">
      <c r="A25" s="72">
        <v>23</v>
      </c>
      <c r="B25" s="64" t="s">
        <v>156</v>
      </c>
      <c r="C25" s="13">
        <v>1</v>
      </c>
      <c r="D25" s="17">
        <v>3.4</v>
      </c>
      <c r="E25" s="73">
        <v>42.3874</v>
      </c>
      <c r="F25" s="73">
        <v>-71.2216</v>
      </c>
      <c r="G25" s="66">
        <f>IF(C25=3,IF(D25&gt;=8,5,4),IF(C25=2,IF(D25&gt;=7,3,2),1))</f>
      </c>
    </row>
    <row r="26" spans="1:7" x14ac:dyDescent="0.25">
      <c r="A26" s="74">
        <v>24</v>
      </c>
      <c r="B26" s="67" t="s">
        <v>157</v>
      </c>
      <c r="C26" s="20">
        <v>1</v>
      </c>
      <c r="D26" s="23">
        <v>2.93</v>
      </c>
      <c r="E26" s="75">
        <v>34.2887</v>
      </c>
      <c r="F26" s="75">
        <v>-85.195</v>
      </c>
      <c r="G26" s="69">
        <f>IF(C26=3,IF(D26&gt;=8,5,4),IF(C26=2,IF(D26&gt;=7,3,2),1))</f>
      </c>
    </row>
    <row r="27" spans="1:7" x14ac:dyDescent="0.25">
      <c r="A27" s="72">
        <v>25</v>
      </c>
      <c r="B27" s="64" t="s">
        <v>158</v>
      </c>
      <c r="C27" s="13">
        <v>1</v>
      </c>
      <c r="D27" s="17">
        <v>5.5</v>
      </c>
      <c r="E27" s="73">
        <v>29.2034</v>
      </c>
      <c r="F27" s="73">
        <v>-81.0236</v>
      </c>
      <c r="G27" s="66">
        <f>IF(C27=3,IF(D27&gt;=8,5,4),IF(C27=2,IF(D27&gt;=7,3,2),1))</f>
      </c>
    </row>
    <row r="28" spans="1:7" x14ac:dyDescent="0.25">
      <c r="A28" s="74">
        <v>26</v>
      </c>
      <c r="B28" s="67" t="s">
        <v>159</v>
      </c>
      <c r="C28" s="20">
        <v>1</v>
      </c>
      <c r="D28" s="23">
        <v>3.38</v>
      </c>
      <c r="E28" s="75">
        <v>33.5149</v>
      </c>
      <c r="F28" s="75">
        <v>-86.8728</v>
      </c>
      <c r="G28" s="69">
        <f>IF(C28=3,IF(D28&gt;=8,5,4),IF(C28=2,IF(D28&gt;=7,3,2),1))</f>
      </c>
    </row>
    <row r="29" spans="1:7" x14ac:dyDescent="0.25">
      <c r="A29" s="72">
        <v>27</v>
      </c>
      <c r="B29" s="64" t="s">
        <v>160</v>
      </c>
      <c r="C29" s="13">
        <v>1</v>
      </c>
      <c r="D29" s="17">
        <v>6.5</v>
      </c>
      <c r="E29" s="73">
        <v>41.0065</v>
      </c>
      <c r="F29" s="73">
        <v>-76.4477</v>
      </c>
      <c r="G29" s="66">
        <f>IF(C29=3,IF(D29&gt;=8,5,4),IF(C29=2,IF(D29&gt;=7,3,2),1))</f>
      </c>
    </row>
    <row r="30" spans="1:7" x14ac:dyDescent="0.25">
      <c r="A30" s="74">
        <v>28</v>
      </c>
      <c r="B30" s="67" t="s">
        <v>161</v>
      </c>
      <c r="C30" s="20">
        <v>2</v>
      </c>
      <c r="D30" s="23">
        <v>5.9</v>
      </c>
      <c r="E30" s="75">
        <v>43.6036</v>
      </c>
      <c r="F30" s="75">
        <v>-116.1988</v>
      </c>
      <c r="G30" s="69">
        <f>IF(C30=3,IF(D30&gt;=8,5,4),IF(C30=2,IF(D30&gt;=7,3,2),1))</f>
      </c>
    </row>
    <row r="31" spans="1:7" x14ac:dyDescent="0.25">
      <c r="A31" s="72">
        <v>29</v>
      </c>
      <c r="B31" s="64" t="s">
        <v>162</v>
      </c>
      <c r="C31" s="13">
        <v>2</v>
      </c>
      <c r="D31" s="17">
        <v>5.8</v>
      </c>
      <c r="E31" s="73">
        <v>42.3355</v>
      </c>
      <c r="F31" s="73">
        <v>-71.1685</v>
      </c>
      <c r="G31" s="66">
        <f>IF(C31=3,IF(D31&gt;=8,5,4),IF(C31=2,IF(D31&gt;=7,3,2),1))</f>
      </c>
    </row>
    <row r="32" spans="1:7" x14ac:dyDescent="0.25">
      <c r="A32" s="74">
        <v>30</v>
      </c>
      <c r="B32" s="67" t="s">
        <v>163</v>
      </c>
      <c r="C32" s="20">
        <v>1</v>
      </c>
      <c r="D32" s="23">
        <v>4.65</v>
      </c>
      <c r="E32" s="75">
        <v>42.3505</v>
      </c>
      <c r="F32" s="75">
        <v>-71.1054</v>
      </c>
      <c r="G32" s="69">
        <f>IF(C32=3,IF(D32&gt;=8,5,4),IF(C32=2,IF(D32&gt;=7,3,2),1))</f>
      </c>
    </row>
    <row r="33" spans="1:7" x14ac:dyDescent="0.25">
      <c r="A33" s="72">
        <v>31</v>
      </c>
      <c r="B33" s="64" t="s">
        <v>164</v>
      </c>
      <c r="C33" s="13">
        <v>1</v>
      </c>
      <c r="D33" s="17">
        <v>3.93</v>
      </c>
      <c r="E33" s="73">
        <v>43.9065</v>
      </c>
      <c r="F33" s="73">
        <v>-69.9633</v>
      </c>
      <c r="G33" s="66">
        <f>IF(C33=3,IF(D33&gt;=8,5,4),IF(C33=2,IF(D33&gt;=7,3,2),1))</f>
      </c>
    </row>
    <row r="34" spans="1:7" x14ac:dyDescent="0.25">
      <c r="A34" s="74">
        <v>32</v>
      </c>
      <c r="B34" s="67" t="s">
        <v>165</v>
      </c>
      <c r="C34" s="20">
        <v>1</v>
      </c>
      <c r="D34" s="23">
        <v>5.5</v>
      </c>
      <c r="E34" s="75">
        <v>39.0002</v>
      </c>
      <c r="F34" s="75">
        <v>-76.748</v>
      </c>
      <c r="G34" s="69">
        <f>IF(C34=3,IF(D34&gt;=8,5,4),IF(C34=2,IF(D34&gt;=7,3,2),1))</f>
      </c>
    </row>
    <row r="35" spans="1:7" x14ac:dyDescent="0.25">
      <c r="A35" s="72">
        <v>33</v>
      </c>
      <c r="B35" s="64" t="s">
        <v>166</v>
      </c>
      <c r="C35" s="13">
        <v>2</v>
      </c>
      <c r="D35" s="17">
        <v>7</v>
      </c>
      <c r="E35" s="73">
        <v>41.3798</v>
      </c>
      <c r="F35" s="73">
        <v>-83.6254</v>
      </c>
      <c r="G35" s="66">
        <f>IF(C35=3,IF(D35&gt;=8,5,4),IF(C35=2,IF(D35&gt;=7,3,2),1))</f>
      </c>
    </row>
    <row r="36" spans="1:7" x14ac:dyDescent="0.25">
      <c r="A36" s="74">
        <v>34</v>
      </c>
      <c r="B36" s="67" t="s">
        <v>167</v>
      </c>
      <c r="C36" s="20">
        <v>1</v>
      </c>
      <c r="D36" s="23">
        <v>5.5</v>
      </c>
      <c r="E36" s="75">
        <v>40.697</v>
      </c>
      <c r="F36" s="75">
        <v>-89.6171</v>
      </c>
      <c r="G36" s="69">
        <f>IF(C36=3,IF(D36&gt;=8,5,4),IF(C36=2,IF(D36&gt;=7,3,2),1))</f>
      </c>
    </row>
    <row r="37" spans="1:7" x14ac:dyDescent="0.25">
      <c r="A37" s="72">
        <v>35</v>
      </c>
      <c r="B37" s="64" t="s">
        <v>168</v>
      </c>
      <c r="C37" s="13">
        <v>1</v>
      </c>
      <c r="D37" s="17">
        <v>4.53</v>
      </c>
      <c r="E37" s="73">
        <v>42.3655</v>
      </c>
      <c r="F37" s="73">
        <v>-71.2596</v>
      </c>
      <c r="G37" s="66">
        <f>IF(C37=3,IF(D37&gt;=8,5,4),IF(C37=2,IF(D37&gt;=7,3,2),1))</f>
      </c>
    </row>
    <row r="38" spans="1:7" x14ac:dyDescent="0.25">
      <c r="A38" s="74">
        <v>36</v>
      </c>
      <c r="B38" s="67" t="s">
        <v>169</v>
      </c>
      <c r="C38" s="20">
        <v>2</v>
      </c>
      <c r="D38" s="23">
        <v>3</v>
      </c>
      <c r="E38" s="75">
        <v>40.2518</v>
      </c>
      <c r="F38" s="75">
        <v>-111.6493</v>
      </c>
      <c r="G38" s="69">
        <f>IF(C38=3,IF(D38&gt;=8,5,4),IF(C38=2,IF(D38&gt;=7,3,2),1))</f>
      </c>
    </row>
    <row r="39" spans="1:7" x14ac:dyDescent="0.25">
      <c r="A39" s="72">
        <v>37</v>
      </c>
      <c r="B39" s="64" t="s">
        <v>170</v>
      </c>
      <c r="C39" s="13">
        <v>1</v>
      </c>
      <c r="D39" s="17">
        <v>4.18</v>
      </c>
      <c r="E39" s="73">
        <v>41.8268</v>
      </c>
      <c r="F39" s="73">
        <v>-71.4025</v>
      </c>
      <c r="G39" s="66">
        <f>IF(C39=3,IF(D39&gt;=8,5,4),IF(C39=2,IF(D39&gt;=7,3,2),1))</f>
      </c>
    </row>
    <row r="40" spans="1:7" x14ac:dyDescent="0.25">
      <c r="A40" s="74">
        <v>38</v>
      </c>
      <c r="B40" s="67" t="s">
        <v>171</v>
      </c>
      <c r="C40" s="20">
        <v>1</v>
      </c>
      <c r="D40" s="23">
        <v>5.5</v>
      </c>
      <c r="E40" s="75">
        <v>41.8696</v>
      </c>
      <c r="F40" s="75">
        <v>-71.5673</v>
      </c>
      <c r="G40" s="69">
        <f>IF(C40=3,IF(D40&gt;=8,5,4),IF(C40=2,IF(D40&gt;=7,3,2),1))</f>
      </c>
    </row>
    <row r="41" spans="1:7" x14ac:dyDescent="0.25">
      <c r="A41" s="72">
        <v>39</v>
      </c>
      <c r="B41" s="64" t="s">
        <v>172</v>
      </c>
      <c r="C41" s="13">
        <v>1</v>
      </c>
      <c r="D41" s="17">
        <v>3.23</v>
      </c>
      <c r="E41" s="73">
        <v>40.0289</v>
      </c>
      <c r="F41" s="73">
        <v>-75.315</v>
      </c>
      <c r="G41" s="66">
        <f>IF(C41=3,IF(D41&gt;=8,5,4),IF(C41=2,IF(D41&gt;=7,3,2),1))</f>
      </c>
    </row>
    <row r="42" spans="1:7" x14ac:dyDescent="0.25">
      <c r="A42" s="74">
        <v>40</v>
      </c>
      <c r="B42" s="67" t="s">
        <v>173</v>
      </c>
      <c r="C42" s="20">
        <v>1</v>
      </c>
      <c r="D42" s="23">
        <v>3.43</v>
      </c>
      <c r="E42" s="75">
        <v>40.9547</v>
      </c>
      <c r="F42" s="75">
        <v>-76.8829</v>
      </c>
      <c r="G42" s="69">
        <f>IF(C42=3,IF(D42&gt;=8,5,4),IF(C42=2,IF(D42&gt;=7,3,2),1))</f>
      </c>
    </row>
    <row r="43" spans="1:7" x14ac:dyDescent="0.25">
      <c r="A43" s="72">
        <v>41</v>
      </c>
      <c r="B43" s="64" t="s">
        <v>174</v>
      </c>
      <c r="C43" s="13">
        <v>1</v>
      </c>
      <c r="D43" s="17">
        <v>5.5</v>
      </c>
      <c r="E43" s="73">
        <v>39.8396</v>
      </c>
      <c r="F43" s="73">
        <v>-86.1724</v>
      </c>
      <c r="G43" s="66">
        <f>IF(C43=3,IF(D43&gt;=8,5,4),IF(C43=2,IF(D43&gt;=7,3,2),1))</f>
      </c>
    </row>
    <row r="44" spans="1:7" x14ac:dyDescent="0.25">
      <c r="A44" s="74">
        <v>42</v>
      </c>
      <c r="B44" s="67" t="s">
        <v>175</v>
      </c>
      <c r="C44" s="20">
        <v>1</v>
      </c>
      <c r="D44" s="23">
        <v>4.9</v>
      </c>
      <c r="E44" s="75">
        <v>34.1377</v>
      </c>
      <c r="F44" s="75">
        <v>-118.1253</v>
      </c>
      <c r="G44" s="69">
        <f>IF(C44=3,IF(D44&gt;=8,5,4),IF(C44=2,IF(D44&gt;=7,3,2),1))</f>
      </c>
    </row>
    <row r="45" spans="1:7" x14ac:dyDescent="0.25">
      <c r="A45" s="72">
        <v>43</v>
      </c>
      <c r="B45" s="64" t="s">
        <v>176</v>
      </c>
      <c r="C45" s="13">
        <v>2</v>
      </c>
      <c r="D45" s="17">
        <v>6.5</v>
      </c>
      <c r="E45" s="73">
        <v>35.305</v>
      </c>
      <c r="F45" s="73">
        <v>-120.6625</v>
      </c>
      <c r="G45" s="66">
        <f>IF(C45=3,IF(D45&gt;=8,5,4),IF(C45=2,IF(D45&gt;=7,3,2),1))</f>
      </c>
    </row>
    <row r="46" spans="1:7" x14ac:dyDescent="0.25">
      <c r="A46" s="74">
        <v>44</v>
      </c>
      <c r="B46" s="67" t="s">
        <v>177</v>
      </c>
      <c r="C46" s="20">
        <v>1</v>
      </c>
      <c r="D46" s="23">
        <v>5</v>
      </c>
      <c r="E46" s="75">
        <v>34.0565</v>
      </c>
      <c r="F46" s="75">
        <v>-117.8215</v>
      </c>
      <c r="G46" s="69">
        <f>IF(C46=3,IF(D46&gt;=8,5,4),IF(C46=2,IF(D46&gt;=7,3,2),1))</f>
      </c>
    </row>
    <row r="47" spans="1:7" x14ac:dyDescent="0.25">
      <c r="A47" s="72">
        <v>45</v>
      </c>
      <c r="B47" s="64" t="s">
        <v>178</v>
      </c>
      <c r="C47" s="13">
        <v>1</v>
      </c>
      <c r="D47" s="17">
        <v>4.5</v>
      </c>
      <c r="E47" s="73">
        <v>35.3508</v>
      </c>
      <c r="F47" s="73">
        <v>-119.1016</v>
      </c>
      <c r="G47" s="66">
        <f>IF(C47=3,IF(D47&gt;=8,5,4),IF(C47=2,IF(D47&gt;=7,3,2),1))</f>
      </c>
    </row>
    <row r="48" spans="1:7" x14ac:dyDescent="0.25">
      <c r="A48" s="74">
        <v>46</v>
      </c>
      <c r="B48" s="67" t="s">
        <v>179</v>
      </c>
      <c r="C48" s="20">
        <v>1</v>
      </c>
      <c r="D48" s="23">
        <v>4.5</v>
      </c>
      <c r="E48" s="75">
        <v>34.1623</v>
      </c>
      <c r="F48" s="75">
        <v>-119.0442</v>
      </c>
      <c r="G48" s="69">
        <f>IF(C48=3,IF(D48&gt;=8,5,4),IF(C48=2,IF(D48&gt;=7,3,2),1))</f>
      </c>
    </row>
    <row r="49" spans="1:7" x14ac:dyDescent="0.25">
      <c r="A49" s="72">
        <v>47</v>
      </c>
      <c r="B49" s="64" t="s">
        <v>180</v>
      </c>
      <c r="C49" s="13">
        <v>2</v>
      </c>
      <c r="D49" s="17">
        <v>7.5</v>
      </c>
      <c r="E49" s="73">
        <v>39.7285</v>
      </c>
      <c r="F49" s="73">
        <v>-121.8463</v>
      </c>
      <c r="G49" s="66">
        <f>IF(C49=3,IF(D49&gt;=8,5,4),IF(C49=2,IF(D49&gt;=7,3,2),1))</f>
      </c>
    </row>
    <row r="50" spans="1:7" x14ac:dyDescent="0.25">
      <c r="A50" s="74">
        <v>48</v>
      </c>
      <c r="B50" s="67" t="s">
        <v>181</v>
      </c>
      <c r="C50" s="20">
        <v>1</v>
      </c>
      <c r="D50" s="23">
        <v>4.5</v>
      </c>
      <c r="E50" s="75">
        <v>33.8634</v>
      </c>
      <c r="F50" s="75">
        <v>-118.2553</v>
      </c>
      <c r="G50" s="69">
        <f>IF(C50=3,IF(D50&gt;=8,5,4),IF(C50=2,IF(D50&gt;=7,3,2),1))</f>
      </c>
    </row>
    <row r="51" spans="1:7" x14ac:dyDescent="0.25">
      <c r="A51" s="72">
        <v>49</v>
      </c>
      <c r="B51" s="64" t="s">
        <v>182</v>
      </c>
      <c r="C51" s="13">
        <v>1</v>
      </c>
      <c r="D51" s="17">
        <v>4.5</v>
      </c>
      <c r="E51" s="73">
        <v>37.6563</v>
      </c>
      <c r="F51" s="73">
        <v>-122.0568</v>
      </c>
      <c r="G51" s="66">
        <f>IF(C51=3,IF(D51&gt;=8,5,4),IF(C51=2,IF(D51&gt;=7,3,2),1))</f>
      </c>
    </row>
    <row r="52" spans="1:7" x14ac:dyDescent="0.25">
      <c r="A52" s="74">
        <v>50</v>
      </c>
      <c r="B52" s="67" t="s">
        <v>183</v>
      </c>
      <c r="C52" s="20">
        <v>2</v>
      </c>
      <c r="D52" s="23">
        <v>6</v>
      </c>
      <c r="E52" s="75">
        <v>36.8134</v>
      </c>
      <c r="F52" s="75">
        <v>-119.7483</v>
      </c>
      <c r="G52" s="69">
        <f>IF(C52=3,IF(D52&gt;=8,5,4),IF(C52=2,IF(D52&gt;=7,3,2),1))</f>
      </c>
    </row>
    <row r="53" spans="1:7" x14ac:dyDescent="0.25">
      <c r="A53" s="72">
        <v>51</v>
      </c>
      <c r="B53" s="64" t="s">
        <v>184</v>
      </c>
      <c r="C53" s="13">
        <v>2</v>
      </c>
      <c r="D53" s="17">
        <v>6</v>
      </c>
      <c r="E53" s="73">
        <v>33.8829</v>
      </c>
      <c r="F53" s="73">
        <v>-117.8854</v>
      </c>
      <c r="G53" s="66">
        <f>IF(C53=3,IF(D53&gt;=8,5,4),IF(C53=2,IF(D53&gt;=7,3,2),1))</f>
      </c>
    </row>
    <row r="54" spans="1:7" x14ac:dyDescent="0.25">
      <c r="A54" s="74">
        <v>52</v>
      </c>
      <c r="B54" s="67" t="s">
        <v>185</v>
      </c>
      <c r="C54" s="20">
        <v>2</v>
      </c>
      <c r="D54" s="23">
        <v>6.2</v>
      </c>
      <c r="E54" s="75">
        <v>33.7838</v>
      </c>
      <c r="F54" s="75">
        <v>-118.1141</v>
      </c>
      <c r="G54" s="69">
        <f>IF(C54=3,IF(D54&gt;=8,5,4),IF(C54=2,IF(D54&gt;=7,3,2),1))</f>
      </c>
    </row>
    <row r="55" spans="1:7" x14ac:dyDescent="0.25">
      <c r="A55" s="72">
        <v>53</v>
      </c>
      <c r="B55" s="64" t="s">
        <v>186</v>
      </c>
      <c r="C55" s="13">
        <v>1</v>
      </c>
      <c r="D55" s="17">
        <v>4.5</v>
      </c>
      <c r="E55" s="73">
        <v>34.0666</v>
      </c>
      <c r="F55" s="73">
        <v>-118.1685</v>
      </c>
      <c r="G55" s="66">
        <f>IF(C55=3,IF(D55&gt;=8,5,4),IF(C55=2,IF(D55&gt;=7,3,2),1))</f>
      </c>
    </row>
    <row r="56" spans="1:7" x14ac:dyDescent="0.25">
      <c r="A56" s="74">
        <v>54</v>
      </c>
      <c r="B56" s="67" t="s">
        <v>187</v>
      </c>
      <c r="C56" s="20">
        <v>1</v>
      </c>
      <c r="D56" s="23">
        <v>5</v>
      </c>
      <c r="E56" s="75">
        <v>36.6538</v>
      </c>
      <c r="F56" s="75">
        <v>-121.8044</v>
      </c>
      <c r="G56" s="69">
        <f>IF(C56=3,IF(D56&gt;=8,5,4),IF(C56=2,IF(D56&gt;=7,3,2),1))</f>
      </c>
    </row>
    <row r="57" spans="1:7" x14ac:dyDescent="0.25">
      <c r="A57" s="72">
        <v>55</v>
      </c>
      <c r="B57" s="64" t="s">
        <v>188</v>
      </c>
      <c r="C57" s="13">
        <v>2</v>
      </c>
      <c r="D57" s="17">
        <v>5.8</v>
      </c>
      <c r="E57" s="73">
        <v>34.24</v>
      </c>
      <c r="F57" s="73">
        <v>-118.5291</v>
      </c>
      <c r="G57" s="66">
        <f>IF(C57=3,IF(D57&gt;=8,5,4),IF(C57=2,IF(D57&gt;=7,3,2),1))</f>
      </c>
    </row>
    <row r="58" spans="1:7" x14ac:dyDescent="0.25">
      <c r="A58" s="74">
        <v>56</v>
      </c>
      <c r="B58" s="67" t="s">
        <v>189</v>
      </c>
      <c r="C58" s="20">
        <v>2</v>
      </c>
      <c r="D58" s="23">
        <v>5.8</v>
      </c>
      <c r="E58" s="75">
        <v>38.5607</v>
      </c>
      <c r="F58" s="75">
        <v>-121.4236</v>
      </c>
      <c r="G58" s="69">
        <f>IF(C58=3,IF(D58&gt;=8,5,4),IF(C58=2,IF(D58&gt;=7,3,2),1))</f>
      </c>
    </row>
    <row r="59" spans="1:7" x14ac:dyDescent="0.25">
      <c r="A59" s="72">
        <v>57</v>
      </c>
      <c r="B59" s="64" t="s">
        <v>190</v>
      </c>
      <c r="C59" s="13">
        <v>1</v>
      </c>
      <c r="D59" s="17">
        <v>5</v>
      </c>
      <c r="E59" s="73">
        <v>34.1818</v>
      </c>
      <c r="F59" s="73">
        <v>-117.3233</v>
      </c>
      <c r="G59" s="66">
        <f>IF(C59=3,IF(D59&gt;=8,5,4),IF(C59=2,IF(D59&gt;=7,3,2),1))</f>
      </c>
    </row>
    <row r="60" spans="1:7" x14ac:dyDescent="0.25">
      <c r="A60" s="74">
        <v>58</v>
      </c>
      <c r="B60" s="67" t="s">
        <v>191</v>
      </c>
      <c r="C60" s="20">
        <v>1</v>
      </c>
      <c r="D60" s="23">
        <v>4.8</v>
      </c>
      <c r="E60" s="75">
        <v>33.1284</v>
      </c>
      <c r="F60" s="75">
        <v>-117.1598</v>
      </c>
      <c r="G60" s="69">
        <f>IF(C60=3,IF(D60&gt;=8,5,4),IF(C60=2,IF(D60&gt;=7,3,2),1))</f>
      </c>
    </row>
    <row r="61" spans="1:7" x14ac:dyDescent="0.25">
      <c r="A61" s="72">
        <v>59</v>
      </c>
      <c r="B61" s="64" t="s">
        <v>192</v>
      </c>
      <c r="C61" s="13">
        <v>1</v>
      </c>
      <c r="D61" s="17">
        <v>4.5</v>
      </c>
      <c r="E61" s="73">
        <v>37.5241</v>
      </c>
      <c r="F61" s="73">
        <v>-120.8576</v>
      </c>
      <c r="G61" s="66">
        <f>IF(C61=3,IF(D61&gt;=8,5,4),IF(C61=2,IF(D61&gt;=7,3,2),1))</f>
      </c>
    </row>
    <row r="62" spans="1:7" x14ac:dyDescent="0.25">
      <c r="A62" s="74">
        <v>60</v>
      </c>
      <c r="B62" s="67" t="s">
        <v>193</v>
      </c>
      <c r="C62" s="20">
        <v>1</v>
      </c>
      <c r="D62" s="23">
        <v>5</v>
      </c>
      <c r="E62" s="75">
        <v>42.9398</v>
      </c>
      <c r="F62" s="75">
        <v>-78.8385</v>
      </c>
      <c r="G62" s="69">
        <f>IF(C62=3,IF(D62&gt;=8,5,4),IF(C62=2,IF(D62&gt;=7,3,2),1))</f>
      </c>
    </row>
    <row r="63" spans="1:7" x14ac:dyDescent="0.25">
      <c r="A63" s="72">
        <v>61</v>
      </c>
      <c r="B63" s="64" t="s">
        <v>194</v>
      </c>
      <c r="C63" s="13">
        <v>1</v>
      </c>
      <c r="D63" s="17">
        <v>3.85</v>
      </c>
      <c r="E63" s="73">
        <v>44.4615</v>
      </c>
      <c r="F63" s="73">
        <v>-93.1538</v>
      </c>
      <c r="G63" s="66">
        <f>IF(C63=3,IF(D63&gt;=8,5,4),IF(C63=2,IF(D63&gt;=7,3,2),1))</f>
      </c>
    </row>
    <row r="64" spans="1:7" x14ac:dyDescent="0.25">
      <c r="A64" s="74">
        <v>62</v>
      </c>
      <c r="B64" s="67" t="s">
        <v>195</v>
      </c>
      <c r="C64" s="20">
        <v>1</v>
      </c>
      <c r="D64" s="23">
        <v>4.58</v>
      </c>
      <c r="E64" s="75">
        <v>40.4432</v>
      </c>
      <c r="F64" s="75">
        <v>-79.9428</v>
      </c>
      <c r="G64" s="69">
        <f>IF(C64=3,IF(D64&gt;=8,5,4),IF(C64=2,IF(D64&gt;=7,3,2),1))</f>
      </c>
    </row>
    <row r="65" spans="1:7" x14ac:dyDescent="0.25">
      <c r="A65" s="72">
        <v>63</v>
      </c>
      <c r="B65" s="64" t="s">
        <v>196</v>
      </c>
      <c r="C65" s="13">
        <v>1</v>
      </c>
      <c r="D65" s="17">
        <v>4.5</v>
      </c>
      <c r="E65" s="73">
        <v>41.5045</v>
      </c>
      <c r="F65" s="73">
        <v>-81.6087</v>
      </c>
      <c r="G65" s="66">
        <f>IF(C65=3,IF(D65&gt;=8,5,4),IF(C65=2,IF(D65&gt;=7,3,2),1))</f>
      </c>
    </row>
    <row r="66" spans="1:7" x14ac:dyDescent="0.25">
      <c r="A66" s="74">
        <v>64</v>
      </c>
      <c r="B66" s="67" t="s">
        <v>197</v>
      </c>
      <c r="C66" s="20">
        <v>1</v>
      </c>
      <c r="D66" s="23">
        <v>5</v>
      </c>
      <c r="E66" s="75">
        <v>38.9346</v>
      </c>
      <c r="F66" s="75">
        <v>-76.9976</v>
      </c>
      <c r="G66" s="69">
        <f>IF(C66=3,IF(D66&gt;=8,5,4),IF(C66=2,IF(D66&gt;=7,3,2),1))</f>
      </c>
    </row>
    <row r="67" spans="1:7" x14ac:dyDescent="0.25">
      <c r="A67" s="72">
        <v>65</v>
      </c>
      <c r="B67" s="64" t="s">
        <v>198</v>
      </c>
      <c r="C67" s="13">
        <v>2</v>
      </c>
      <c r="D67" s="17">
        <v>6</v>
      </c>
      <c r="E67" s="73">
        <v>43.5849</v>
      </c>
      <c r="F67" s="73">
        <v>-84.7751</v>
      </c>
      <c r="G67" s="66">
        <f>IF(C67=3,IF(D67&gt;=8,5,4),IF(C67=2,IF(D67&gt;=7,3,2),1))</f>
      </c>
    </row>
    <row r="68" spans="1:7" x14ac:dyDescent="0.25">
      <c r="A68" s="74">
        <v>66</v>
      </c>
      <c r="B68" s="67" t="s">
        <v>199</v>
      </c>
      <c r="C68" s="20">
        <v>1</v>
      </c>
      <c r="D68" s="23">
        <v>5.5</v>
      </c>
      <c r="E68" s="75">
        <v>46.9965</v>
      </c>
      <c r="F68" s="75">
        <v>-120.5429</v>
      </c>
      <c r="G68" s="69">
        <f>IF(C68=3,IF(D68&gt;=8,5,4),IF(C68=2,IF(D68&gt;=7,3,2),1))</f>
      </c>
    </row>
    <row r="69" spans="1:7" x14ac:dyDescent="0.25">
      <c r="A69" s="72">
        <v>67</v>
      </c>
      <c r="B69" s="64" t="s">
        <v>200</v>
      </c>
      <c r="C69" s="13">
        <v>1</v>
      </c>
      <c r="D69" s="17">
        <v>2.9</v>
      </c>
      <c r="E69" s="73">
        <v>37.6448</v>
      </c>
      <c r="F69" s="73">
        <v>-84.7741</v>
      </c>
      <c r="G69" s="66">
        <f>IF(C69=3,IF(D69&gt;=8,5,4),IF(C69=2,IF(D69&gt;=7,3,2),1))</f>
      </c>
    </row>
    <row r="70" spans="1:7" x14ac:dyDescent="0.25">
      <c r="A70" s="74">
        <v>68</v>
      </c>
      <c r="B70" s="67" t="s">
        <v>201</v>
      </c>
      <c r="C70" s="20">
        <v>1</v>
      </c>
      <c r="D70" s="23">
        <v>4.83</v>
      </c>
      <c r="E70" s="75">
        <v>33.793</v>
      </c>
      <c r="F70" s="75">
        <v>-117.8517</v>
      </c>
      <c r="G70" s="69">
        <f>IF(C70=3,IF(D70&gt;=8,5,4),IF(C70=2,IF(D70&gt;=7,3,2),1))</f>
      </c>
    </row>
    <row r="71" spans="1:7" x14ac:dyDescent="0.25">
      <c r="A71" s="72">
        <v>69</v>
      </c>
      <c r="B71" s="64" t="s">
        <v>202</v>
      </c>
      <c r="C71" s="13">
        <v>1</v>
      </c>
      <c r="D71" s="17">
        <v>4.5</v>
      </c>
      <c r="E71" s="73">
        <v>32.9696</v>
      </c>
      <c r="F71" s="73">
        <v>-80.0573</v>
      </c>
      <c r="G71" s="66">
        <f>IF(C71=3,IF(D71&gt;=8,5,4),IF(C71=2,IF(D71&gt;=7,3,2),1))</f>
      </c>
    </row>
    <row r="72" spans="1:7" x14ac:dyDescent="0.25">
      <c r="A72" s="74">
        <v>70</v>
      </c>
      <c r="B72" s="67" t="s">
        <v>203</v>
      </c>
      <c r="C72" s="20">
        <v>1</v>
      </c>
      <c r="D72" s="23">
        <v>5.5</v>
      </c>
      <c r="E72" s="75">
        <v>37.0621</v>
      </c>
      <c r="F72" s="75">
        <v>-76.4947</v>
      </c>
      <c r="G72" s="69">
        <f>IF(C72=3,IF(D72&gt;=8,5,4),IF(C72=2,IF(D72&gt;=7,3,2),1))</f>
      </c>
    </row>
    <row r="73" spans="1:7" x14ac:dyDescent="0.25">
      <c r="A73" s="72">
        <v>71</v>
      </c>
      <c r="B73" s="64" t="s">
        <v>204</v>
      </c>
      <c r="C73" s="13">
        <v>1</v>
      </c>
      <c r="D73" s="17">
        <v>3.83</v>
      </c>
      <c r="E73" s="73">
        <v>34.1012</v>
      </c>
      <c r="F73" s="73">
        <v>-117.709</v>
      </c>
      <c r="G73" s="66">
        <f>IF(C73=3,IF(D73&gt;=8,5,4),IF(C73=2,IF(D73&gt;=7,3,2),1))</f>
      </c>
    </row>
    <row r="74" spans="1:7" x14ac:dyDescent="0.25">
      <c r="A74" s="74">
        <v>72</v>
      </c>
      <c r="B74" s="67" t="s">
        <v>205</v>
      </c>
      <c r="C74" s="20">
        <v>1</v>
      </c>
      <c r="D74" s="23">
        <v>5.5</v>
      </c>
      <c r="E74" s="75">
        <v>33.7533</v>
      </c>
      <c r="F74" s="75">
        <v>-84.4141</v>
      </c>
      <c r="G74" s="69">
        <f>IF(C74=3,IF(D74&gt;=8,5,4),IF(C74=2,IF(D74&gt;=7,3,2),1))</f>
      </c>
    </row>
    <row r="75" spans="1:7" x14ac:dyDescent="0.25">
      <c r="A75" s="72">
        <v>73</v>
      </c>
      <c r="B75" s="64" t="s">
        <v>206</v>
      </c>
      <c r="C75" s="13">
        <v>1</v>
      </c>
      <c r="D75" s="17">
        <v>3.95</v>
      </c>
      <c r="E75" s="73">
        <v>42.2511</v>
      </c>
      <c r="F75" s="73">
        <v>-71.8231</v>
      </c>
      <c r="G75" s="66">
        <f>IF(C75=3,IF(D75&gt;=8,5,4),IF(C75=2,IF(D75&gt;=7,3,2),1))</f>
      </c>
    </row>
    <row r="76" spans="1:7" x14ac:dyDescent="0.25">
      <c r="A76" s="74">
        <v>74</v>
      </c>
      <c r="B76" s="67" t="s">
        <v>207</v>
      </c>
      <c r="C76" s="20">
        <v>1</v>
      </c>
      <c r="D76" s="23">
        <v>5</v>
      </c>
      <c r="E76" s="75">
        <v>44.6633</v>
      </c>
      <c r="F76" s="75">
        <v>-75.0044</v>
      </c>
      <c r="G76" s="69">
        <f>IF(C76=3,IF(D76&gt;=8,5,4),IF(C76=2,IF(D76&gt;=7,3,2),1))</f>
      </c>
    </row>
    <row r="77" spans="1:7" x14ac:dyDescent="0.25">
      <c r="A77" s="72">
        <v>75</v>
      </c>
      <c r="B77" s="64" t="s">
        <v>208</v>
      </c>
      <c r="C77" s="13">
        <v>2</v>
      </c>
      <c r="D77" s="17">
        <v>7.45</v>
      </c>
      <c r="E77" s="73">
        <v>34.6834</v>
      </c>
      <c r="F77" s="73">
        <v>-82.8374</v>
      </c>
      <c r="G77" s="66">
        <f>IF(C77=3,IF(D77&gt;=8,5,4),IF(C77=2,IF(D77&gt;=7,3,2),1))</f>
      </c>
    </row>
    <row r="78" spans="1:7" x14ac:dyDescent="0.25">
      <c r="A78" s="74">
        <v>76</v>
      </c>
      <c r="B78" s="67" t="s">
        <v>209</v>
      </c>
      <c r="C78" s="20">
        <v>1</v>
      </c>
      <c r="D78" s="23">
        <v>5</v>
      </c>
      <c r="E78" s="75">
        <v>41.5025</v>
      </c>
      <c r="F78" s="75">
        <v>-81.6746</v>
      </c>
      <c r="G78" s="69">
        <f>IF(C78=3,IF(D78&gt;=8,5,4),IF(C78=2,IF(D78&gt;=7,3,2),1))</f>
      </c>
    </row>
    <row r="79" spans="1:7" x14ac:dyDescent="0.25">
      <c r="A79" s="72">
        <v>77</v>
      </c>
      <c r="B79" s="64" t="s">
        <v>210</v>
      </c>
      <c r="C79" s="13">
        <v>2</v>
      </c>
      <c r="D79" s="17">
        <v>6.28</v>
      </c>
      <c r="E79" s="73">
        <v>33.7932</v>
      </c>
      <c r="F79" s="73">
        <v>-79.0185</v>
      </c>
      <c r="G79" s="66">
        <f>IF(C79=3,IF(D79&gt;=8,5,4),IF(C79=2,IF(D79&gt;=7,3,2),1))</f>
      </c>
    </row>
    <row r="80" spans="1:7" x14ac:dyDescent="0.25">
      <c r="A80" s="74">
        <v>78</v>
      </c>
      <c r="B80" s="67" t="s">
        <v>211</v>
      </c>
      <c r="C80" s="20">
        <v>1</v>
      </c>
      <c r="D80" s="23">
        <v>3.75</v>
      </c>
      <c r="E80" s="75">
        <v>44.564</v>
      </c>
      <c r="F80" s="75">
        <v>-69.6627</v>
      </c>
      <c r="G80" s="69">
        <f>IF(C80=3,IF(D80&gt;=8,5,4),IF(C80=2,IF(D80&gt;=7,3,2),1))</f>
      </c>
    </row>
    <row r="81" spans="1:7" x14ac:dyDescent="0.25">
      <c r="A81" s="72">
        <v>79</v>
      </c>
      <c r="B81" s="64" t="s">
        <v>212</v>
      </c>
      <c r="C81" s="13">
        <v>1</v>
      </c>
      <c r="D81" s="17">
        <v>3.63</v>
      </c>
      <c r="E81" s="73">
        <v>42.8185</v>
      </c>
      <c r="F81" s="73">
        <v>-75.5399</v>
      </c>
      <c r="G81" s="66">
        <f>IF(C81=3,IF(D81&gt;=8,5,4),IF(C81=2,IF(D81&gt;=7,3,2),1))</f>
      </c>
    </row>
    <row r="82" spans="1:7" x14ac:dyDescent="0.25">
      <c r="A82" s="74">
        <v>80</v>
      </c>
      <c r="B82" s="67" t="s">
        <v>213</v>
      </c>
      <c r="C82" s="20">
        <v>2</v>
      </c>
      <c r="D82" s="23">
        <v>5.68</v>
      </c>
      <c r="E82" s="75">
        <v>32.7836</v>
      </c>
      <c r="F82" s="75">
        <v>-79.9375</v>
      </c>
      <c r="G82" s="69">
        <f>IF(C82=3,IF(D82&gt;=8,5,4),IF(C82=2,IF(D82&gt;=7,3,2),1))</f>
      </c>
    </row>
    <row r="83" spans="1:7" x14ac:dyDescent="0.25">
      <c r="A83" s="72">
        <v>81</v>
      </c>
      <c r="B83" s="64" t="s">
        <v>214</v>
      </c>
      <c r="C83" s="13">
        <v>1</v>
      </c>
      <c r="D83" s="17">
        <v>5.5</v>
      </c>
      <c r="E83" s="73">
        <v>37.2716</v>
      </c>
      <c r="F83" s="73">
        <v>-76.7144</v>
      </c>
      <c r="G83" s="66">
        <f>IF(C83=3,IF(D83&gt;=8,5,4),IF(C83=2,IF(D83&gt;=7,3,2),1))</f>
      </c>
    </row>
    <row r="84" spans="1:7" x14ac:dyDescent="0.25">
      <c r="A84" s="74">
        <v>82</v>
      </c>
      <c r="B84" s="67" t="s">
        <v>215</v>
      </c>
      <c r="C84" s="20">
        <v>1</v>
      </c>
      <c r="D84" s="23">
        <v>3.18</v>
      </c>
      <c r="E84" s="75">
        <v>38.8465</v>
      </c>
      <c r="F84" s="75">
        <v>-104.8257</v>
      </c>
      <c r="G84" s="69">
        <f>IF(C84=3,IF(D84&gt;=8,5,4),IF(C84=2,IF(D84&gt;=7,3,2),1))</f>
      </c>
    </row>
    <row r="85" spans="1:7" x14ac:dyDescent="0.25">
      <c r="A85" s="72">
        <v>83</v>
      </c>
      <c r="B85" s="64" t="s">
        <v>216</v>
      </c>
      <c r="C85" s="13">
        <v>1</v>
      </c>
      <c r="D85" s="17">
        <v>4.5</v>
      </c>
      <c r="E85" s="73">
        <v>39.7514</v>
      </c>
      <c r="F85" s="73">
        <v>-105.2228</v>
      </c>
      <c r="G85" s="66">
        <f>IF(C85=3,IF(D85&gt;=8,5,4),IF(C85=2,IF(D85&gt;=7,3,2),1))</f>
      </c>
    </row>
    <row r="86" spans="1:7" x14ac:dyDescent="0.25">
      <c r="A86" s="74">
        <v>84</v>
      </c>
      <c r="B86" s="67" t="s">
        <v>217</v>
      </c>
      <c r="C86" s="20">
        <v>2</v>
      </c>
      <c r="D86" s="23">
        <v>6.78</v>
      </c>
      <c r="E86" s="75">
        <v>40.5734</v>
      </c>
      <c r="F86" s="75">
        <v>-105.0865</v>
      </c>
      <c r="G86" s="69">
        <f>IF(C86=3,IF(D86&gt;=8,5,4),IF(C86=2,IF(D86&gt;=7,3,2),1))</f>
      </c>
    </row>
    <row r="87" spans="1:7" x14ac:dyDescent="0.25">
      <c r="A87" s="72">
        <v>85</v>
      </c>
      <c r="B87" s="64" t="s">
        <v>218</v>
      </c>
      <c r="C87" s="13">
        <v>1</v>
      </c>
      <c r="D87" s="17">
        <v>4.23</v>
      </c>
      <c r="E87" s="73">
        <v>40.8075</v>
      </c>
      <c r="F87" s="73">
        <v>-73.9626</v>
      </c>
      <c r="G87" s="66">
        <f>IF(C87=3,IF(D87&gt;=8,5,4),IF(C87=2,IF(D87&gt;=7,3,2),1))</f>
      </c>
    </row>
    <row r="88" spans="1:7" x14ac:dyDescent="0.25">
      <c r="A88" s="74">
        <v>86</v>
      </c>
      <c r="B88" s="67" t="s">
        <v>219</v>
      </c>
      <c r="C88" s="20">
        <v>1</v>
      </c>
      <c r="D88" s="23">
        <v>5</v>
      </c>
      <c r="E88" s="75">
        <v>37.4171</v>
      </c>
      <c r="F88" s="75">
        <v>-81.0009</v>
      </c>
      <c r="G88" s="69">
        <f>IF(C88=3,IF(D88&gt;=8,5,4),IF(C88=2,IF(D88&gt;=7,3,2),1))</f>
      </c>
    </row>
    <row r="89" spans="1:7" x14ac:dyDescent="0.25">
      <c r="A89" s="72">
        <v>87</v>
      </c>
      <c r="B89" s="64" t="s">
        <v>220</v>
      </c>
      <c r="C89" s="13">
        <v>1</v>
      </c>
      <c r="D89" s="17">
        <v>3.3</v>
      </c>
      <c r="E89" s="73">
        <v>41.3792</v>
      </c>
      <c r="F89" s="73">
        <v>-72.1052</v>
      </c>
      <c r="G89" s="66">
        <f>IF(C89=3,IF(D89&gt;=8,5,4),IF(C89=2,IF(D89&gt;=7,3,2),1))</f>
      </c>
    </row>
    <row r="90" spans="1:7" x14ac:dyDescent="0.25">
      <c r="A90" s="74">
        <v>88</v>
      </c>
      <c r="B90" s="67" t="s">
        <v>221</v>
      </c>
      <c r="C90" s="20">
        <v>1</v>
      </c>
      <c r="D90" s="23">
        <v>4.13</v>
      </c>
      <c r="E90" s="75">
        <v>42.4534</v>
      </c>
      <c r="F90" s="75">
        <v>-76.4735</v>
      </c>
      <c r="G90" s="69">
        <f>IF(C90=3,IF(D90&gt;=8,5,4),IF(C90=2,IF(D90&gt;=7,3,2),1))</f>
      </c>
    </row>
    <row r="91" spans="1:7" x14ac:dyDescent="0.25">
      <c r="A91" s="72">
        <v>89</v>
      </c>
      <c r="B91" s="64" t="s">
        <v>222</v>
      </c>
      <c r="C91" s="13">
        <v>1</v>
      </c>
      <c r="D91" s="17">
        <v>4.2</v>
      </c>
      <c r="E91" s="73">
        <v>41.2646</v>
      </c>
      <c r="F91" s="73">
        <v>-95.9453</v>
      </c>
      <c r="G91" s="66">
        <f>IF(C91=3,IF(D91&gt;=8,5,4),IF(C91=2,IF(D91&gt;=7,3,2),1))</f>
      </c>
    </row>
    <row r="92" spans="1:7" x14ac:dyDescent="0.25">
      <c r="A92" s="74">
        <v>90</v>
      </c>
      <c r="B92" s="67" t="s">
        <v>223</v>
      </c>
      <c r="C92" s="20">
        <v>1</v>
      </c>
      <c r="D92" s="23">
        <v>4.15</v>
      </c>
      <c r="E92" s="75">
        <v>43.7044</v>
      </c>
      <c r="F92" s="75">
        <v>-72.2887</v>
      </c>
      <c r="G92" s="69">
        <f>IF(C92=3,IF(D92&gt;=8,5,4),IF(C92=2,IF(D92&gt;=7,3,2),1))</f>
      </c>
    </row>
    <row r="93" spans="1:7" x14ac:dyDescent="0.25">
      <c r="A93" s="72">
        <v>91</v>
      </c>
      <c r="B93" s="64" t="s">
        <v>224</v>
      </c>
      <c r="C93" s="13">
        <v>1</v>
      </c>
      <c r="D93" s="17">
        <v>3.65</v>
      </c>
      <c r="E93" s="73">
        <v>35.5023</v>
      </c>
      <c r="F93" s="73">
        <v>-80.8428</v>
      </c>
      <c r="G93" s="66">
        <f>IF(C93=3,IF(D93&gt;=8,5,4),IF(C93=2,IF(D93&gt;=7,3,2),1))</f>
      </c>
    </row>
    <row r="94" spans="1:7" x14ac:dyDescent="0.25">
      <c r="A94" s="74">
        <v>92</v>
      </c>
      <c r="B94" s="67" t="s">
        <v>225</v>
      </c>
      <c r="C94" s="20">
        <v>1</v>
      </c>
      <c r="D94" s="23">
        <v>5.5</v>
      </c>
      <c r="E94" s="75">
        <v>39.1868</v>
      </c>
      <c r="F94" s="75">
        <v>-75.5414</v>
      </c>
      <c r="G94" s="69">
        <f>IF(C94=3,IF(D94&gt;=8,5,4),IF(C94=2,IF(D94&gt;=7,3,2),1))</f>
      </c>
    </row>
    <row r="95" spans="1:7" x14ac:dyDescent="0.25">
      <c r="A95" s="72">
        <v>93</v>
      </c>
      <c r="B95" s="64" t="s">
        <v>226</v>
      </c>
      <c r="C95" s="13">
        <v>1</v>
      </c>
      <c r="D95" s="17">
        <v>5</v>
      </c>
      <c r="E95" s="73">
        <v>33.7454</v>
      </c>
      <c r="F95" s="73">
        <v>-90.7324</v>
      </c>
      <c r="G95" s="66">
        <f>IF(C95=3,IF(D95&gt;=8,5,4),IF(C95=2,IF(D95&gt;=7,3,2),1))</f>
      </c>
    </row>
    <row r="96" spans="1:7" x14ac:dyDescent="0.25">
      <c r="A96" s="74">
        <v>94</v>
      </c>
      <c r="B96" s="67" t="s">
        <v>227</v>
      </c>
      <c r="C96" s="20">
        <v>1</v>
      </c>
      <c r="D96" s="23">
        <v>2.85</v>
      </c>
      <c r="E96" s="75">
        <v>40.0722</v>
      </c>
      <c r="F96" s="75">
        <v>-82.5253</v>
      </c>
      <c r="G96" s="69">
        <f>IF(C96=3,IF(D96&gt;=8,5,4),IF(C96=2,IF(D96&gt;=7,3,2),1))</f>
      </c>
    </row>
    <row r="97" spans="1:7" x14ac:dyDescent="0.25">
      <c r="A97" s="72">
        <v>95</v>
      </c>
      <c r="B97" s="64" t="s">
        <v>228</v>
      </c>
      <c r="C97" s="13">
        <v>1</v>
      </c>
      <c r="D97" s="17">
        <v>5</v>
      </c>
      <c r="E97" s="73">
        <v>41.9253</v>
      </c>
      <c r="F97" s="73">
        <v>-87.6563</v>
      </c>
      <c r="G97" s="66">
        <f>IF(C97=3,IF(D97&gt;=8,5,4),IF(C97=2,IF(D97&gt;=7,3,2),1))</f>
      </c>
    </row>
    <row r="98" spans="1:7" x14ac:dyDescent="0.25">
      <c r="A98" s="74">
        <v>96</v>
      </c>
      <c r="B98" s="67" t="s">
        <v>229</v>
      </c>
      <c r="C98" s="20">
        <v>1</v>
      </c>
      <c r="D98" s="23">
        <v>2.88</v>
      </c>
      <c r="E98" s="75">
        <v>39.64</v>
      </c>
      <c r="F98" s="75">
        <v>-86.8627</v>
      </c>
      <c r="G98" s="69">
        <f>IF(C98=3,IF(D98&gt;=8,5,4),IF(C98=2,IF(D98&gt;=7,3,2),1))</f>
      </c>
    </row>
    <row r="99" spans="1:7" x14ac:dyDescent="0.25">
      <c r="A99" s="72">
        <v>97</v>
      </c>
      <c r="B99" s="64" t="s">
        <v>230</v>
      </c>
      <c r="C99" s="13">
        <v>1</v>
      </c>
      <c r="D99" s="17">
        <v>2.83</v>
      </c>
      <c r="E99" s="73">
        <v>40.2015</v>
      </c>
      <c r="F99" s="73">
        <v>-77.1989</v>
      </c>
      <c r="G99" s="66">
        <f>IF(C99=3,IF(D99&gt;=8,5,4),IF(C99=2,IF(D99&gt;=7,3,2),1))</f>
      </c>
    </row>
    <row r="100" spans="1:7" x14ac:dyDescent="0.25">
      <c r="A100" s="74">
        <v>98</v>
      </c>
      <c r="B100" s="67" t="s">
        <v>231</v>
      </c>
      <c r="C100" s="20">
        <v>1</v>
      </c>
      <c r="D100" s="23">
        <v>5</v>
      </c>
      <c r="E100" s="75">
        <v>41.605</v>
      </c>
      <c r="F100" s="75">
        <v>-93.6533</v>
      </c>
      <c r="G100" s="69">
        <f>IF(C100=3,IF(D100&gt;=8,5,4),IF(C100=2,IF(D100&gt;=7,3,2),1))</f>
      </c>
    </row>
    <row r="101" spans="1:7" x14ac:dyDescent="0.25">
      <c r="A101" s="72">
        <v>99</v>
      </c>
      <c r="B101" s="64" t="s">
        <v>232</v>
      </c>
      <c r="C101" s="13">
        <v>1</v>
      </c>
      <c r="D101" s="17">
        <v>4.35</v>
      </c>
      <c r="E101" s="73">
        <v>39.9566</v>
      </c>
      <c r="F101" s="73">
        <v>-75.1899</v>
      </c>
      <c r="G101" s="66">
        <f>IF(C101=3,IF(D101&gt;=8,5,4),IF(C101=2,IF(D101&gt;=7,3,2),1))</f>
      </c>
    </row>
    <row r="102" spans="1:7" x14ac:dyDescent="0.25">
      <c r="A102" s="74">
        <v>100</v>
      </c>
      <c r="B102" s="67" t="s">
        <v>233</v>
      </c>
      <c r="C102" s="20">
        <v>1</v>
      </c>
      <c r="D102" s="23">
        <v>3.9</v>
      </c>
      <c r="E102" s="75">
        <v>37.2089</v>
      </c>
      <c r="F102" s="75">
        <v>-93.2791</v>
      </c>
      <c r="G102" s="69">
        <f>IF(C102=3,IF(D102&gt;=8,5,4),IF(C102=2,IF(D102&gt;=7,3,2),1))</f>
      </c>
    </row>
    <row r="103" spans="1:7" x14ac:dyDescent="0.25">
      <c r="A103" s="72">
        <v>101</v>
      </c>
      <c r="B103" s="64" t="s">
        <v>234</v>
      </c>
      <c r="C103" s="13">
        <v>1</v>
      </c>
      <c r="D103" s="17">
        <v>4.78</v>
      </c>
      <c r="E103" s="73">
        <v>36.0014</v>
      </c>
      <c r="F103" s="73">
        <v>-78.9382</v>
      </c>
      <c r="G103" s="66">
        <f>IF(C103=3,IF(D103&gt;=8,5,4),IF(C103=2,IF(D103&gt;=7,3,2),1))</f>
      </c>
    </row>
    <row r="104" spans="1:7" x14ac:dyDescent="0.25">
      <c r="A104" s="74">
        <v>102</v>
      </c>
      <c r="B104" s="67" t="s">
        <v>235</v>
      </c>
      <c r="C104" s="20">
        <v>1</v>
      </c>
      <c r="D104" s="23">
        <v>5</v>
      </c>
      <c r="E104" s="75">
        <v>40.4356</v>
      </c>
      <c r="F104" s="75">
        <v>-79.9914</v>
      </c>
      <c r="G104" s="69">
        <f>IF(C104=3,IF(D104&gt;=8,5,4),IF(C104=2,IF(D104&gt;=7,3,2),1))</f>
      </c>
    </row>
    <row r="105" spans="1:7" x14ac:dyDescent="0.25">
      <c r="A105" s="72">
        <v>103</v>
      </c>
      <c r="B105" s="64" t="s">
        <v>236</v>
      </c>
      <c r="C105" s="13">
        <v>1</v>
      </c>
      <c r="D105" s="17">
        <v>3</v>
      </c>
      <c r="E105" s="73">
        <v>39.8279</v>
      </c>
      <c r="F105" s="73">
        <v>-84.9027</v>
      </c>
      <c r="G105" s="66">
        <f>IF(C105=3,IF(D105&gt;=8,5,4),IF(C105=2,IF(D105&gt;=7,3,2),1))</f>
      </c>
    </row>
    <row r="106" spans="1:7" x14ac:dyDescent="0.25">
      <c r="A106" s="74">
        <v>104</v>
      </c>
      <c r="B106" s="67" t="s">
        <v>237</v>
      </c>
      <c r="C106" s="20">
        <v>2</v>
      </c>
      <c r="D106" s="23">
        <v>6.05</v>
      </c>
      <c r="E106" s="75">
        <v>35.6066</v>
      </c>
      <c r="F106" s="75">
        <v>-77.372</v>
      </c>
      <c r="G106" s="69">
        <f>IF(C106=3,IF(D106&gt;=8,5,4),IF(C106=2,IF(D106&gt;=7,3,2),1))</f>
      </c>
    </row>
    <row r="107" spans="1:7" x14ac:dyDescent="0.25">
      <c r="A107" s="72">
        <v>105</v>
      </c>
      <c r="B107" s="64" t="s">
        <v>238</v>
      </c>
      <c r="C107" s="13">
        <v>1</v>
      </c>
      <c r="D107" s="17">
        <v>6</v>
      </c>
      <c r="E107" s="73">
        <v>40.9993</v>
      </c>
      <c r="F107" s="73">
        <v>-75.1826</v>
      </c>
      <c r="G107" s="66">
        <f>IF(C107=3,IF(D107&gt;=8,5,4),IF(C107=2,IF(D107&gt;=7,3,2),1))</f>
      </c>
    </row>
    <row r="108" spans="1:7" x14ac:dyDescent="0.25">
      <c r="A108" s="74">
        <v>106</v>
      </c>
      <c r="B108" s="67" t="s">
        <v>239</v>
      </c>
      <c r="C108" s="20">
        <v>1</v>
      </c>
      <c r="D108" s="23">
        <v>5.5</v>
      </c>
      <c r="E108" s="75">
        <v>36.3018</v>
      </c>
      <c r="F108" s="75">
        <v>-82.368</v>
      </c>
      <c r="G108" s="69">
        <f>IF(C108=3,IF(D108&gt;=8,5,4),IF(C108=2,IF(D108&gt;=7,3,2),1))</f>
      </c>
    </row>
    <row r="109" spans="1:7" x14ac:dyDescent="0.25">
      <c r="A109" s="72">
        <v>107</v>
      </c>
      <c r="B109" s="64" t="s">
        <v>240</v>
      </c>
      <c r="C109" s="13">
        <v>1</v>
      </c>
      <c r="D109" s="17">
        <v>6</v>
      </c>
      <c r="E109" s="73">
        <v>39.4818</v>
      </c>
      <c r="F109" s="73">
        <v>-88.1779</v>
      </c>
      <c r="G109" s="66">
        <f>IF(C109=3,IF(D109&gt;=8,5,4),IF(C109=2,IF(D109&gt;=7,3,2),1))</f>
      </c>
    </row>
    <row r="110" spans="1:7" x14ac:dyDescent="0.25">
      <c r="A110" s="74">
        <v>108</v>
      </c>
      <c r="B110" s="67" t="s">
        <v>241</v>
      </c>
      <c r="C110" s="20">
        <v>1</v>
      </c>
      <c r="D110" s="23">
        <v>6</v>
      </c>
      <c r="E110" s="75">
        <v>37.7332</v>
      </c>
      <c r="F110" s="75">
        <v>-84.2944</v>
      </c>
      <c r="G110" s="69">
        <f>IF(C110=3,IF(D110&gt;=8,5,4),IF(C110=2,IF(D110&gt;=7,3,2),1))</f>
      </c>
    </row>
    <row r="111" spans="1:7" x14ac:dyDescent="0.25">
      <c r="A111" s="72">
        <v>109</v>
      </c>
      <c r="B111" s="64" t="s">
        <v>242</v>
      </c>
      <c r="C111" s="13">
        <v>1</v>
      </c>
      <c r="D111" s="17">
        <v>5.5</v>
      </c>
      <c r="E111" s="73">
        <v>42.2505</v>
      </c>
      <c r="F111" s="73">
        <v>-83.6238</v>
      </c>
      <c r="G111" s="66">
        <f>IF(C111=3,IF(D111&gt;=8,5,4),IF(C111=2,IF(D111&gt;=7,3,2),1))</f>
      </c>
    </row>
    <row r="112" spans="1:7" x14ac:dyDescent="0.25">
      <c r="A112" s="74">
        <v>110</v>
      </c>
      <c r="B112" s="67" t="s">
        <v>243</v>
      </c>
      <c r="C112" s="20">
        <v>1</v>
      </c>
      <c r="D112" s="23">
        <v>5.5</v>
      </c>
      <c r="E112" s="75">
        <v>47.4886</v>
      </c>
      <c r="F112" s="75">
        <v>-117.5831</v>
      </c>
      <c r="G112" s="69">
        <f>IF(C112=3,IF(D112&gt;=8,5,4),IF(C112=2,IF(D112&gt;=7,3,2),1))</f>
      </c>
    </row>
    <row r="113" spans="1:7" x14ac:dyDescent="0.25">
      <c r="A113" s="72">
        <v>111</v>
      </c>
      <c r="B113" s="64" t="s">
        <v>244</v>
      </c>
      <c r="C113" s="13">
        <v>1</v>
      </c>
      <c r="D113" s="17">
        <v>5</v>
      </c>
      <c r="E113" s="73">
        <v>36.2938</v>
      </c>
      <c r="F113" s="73">
        <v>-76.2211</v>
      </c>
      <c r="G113" s="66">
        <f>IF(C113=3,IF(D113&gt;=8,5,4),IF(C113=2,IF(D113&gt;=7,3,2),1))</f>
      </c>
    </row>
    <row r="114" spans="1:7" x14ac:dyDescent="0.25">
      <c r="A114" s="74">
        <v>112</v>
      </c>
      <c r="B114" s="67" t="s">
        <v>245</v>
      </c>
      <c r="C114" s="20">
        <v>2</v>
      </c>
      <c r="D114" s="23">
        <v>5.5</v>
      </c>
      <c r="E114" s="75">
        <v>36.1039</v>
      </c>
      <c r="F114" s="75">
        <v>-79.5026</v>
      </c>
      <c r="G114" s="69">
        <f>IF(C114=3,IF(D114&gt;=8,5,4),IF(C114=2,IF(D114&gt;=7,3,2),1))</f>
      </c>
    </row>
    <row r="115" spans="1:7" x14ac:dyDescent="0.25">
      <c r="A115" s="72">
        <v>113</v>
      </c>
      <c r="B115" s="64" t="s">
        <v>246</v>
      </c>
      <c r="C115" s="13">
        <v>1</v>
      </c>
      <c r="D115" s="17">
        <v>4</v>
      </c>
      <c r="E115" s="73">
        <v>29.1868</v>
      </c>
      <c r="F115" s="73">
        <v>-81.0472</v>
      </c>
      <c r="G115" s="66">
        <f>IF(C115=3,IF(D115&gt;=8,5,4),IF(C115=2,IF(D115&gt;=7,3,2),1))</f>
      </c>
    </row>
    <row r="116" spans="1:7" x14ac:dyDescent="0.25">
      <c r="A116" s="74">
        <v>114</v>
      </c>
      <c r="B116" s="67" t="s">
        <v>247</v>
      </c>
      <c r="C116" s="20">
        <v>1</v>
      </c>
      <c r="D116" s="23">
        <v>4.5</v>
      </c>
      <c r="E116" s="75">
        <v>42.3521</v>
      </c>
      <c r="F116" s="75">
        <v>-71.0668</v>
      </c>
      <c r="G116" s="69">
        <f>IF(C116=3,IF(D116&gt;=8,5,4),IF(C116=2,IF(D116&gt;=7,3,2),1))</f>
      </c>
    </row>
    <row r="117" spans="1:7" x14ac:dyDescent="0.25">
      <c r="A117" s="72">
        <v>115</v>
      </c>
      <c r="B117" s="64" t="s">
        <v>248</v>
      </c>
      <c r="C117" s="13">
        <v>1</v>
      </c>
      <c r="D117" s="17">
        <v>4.83</v>
      </c>
      <c r="E117" s="73">
        <v>33.7906</v>
      </c>
      <c r="F117" s="73">
        <v>-84.326</v>
      </c>
      <c r="G117" s="66">
        <f>IF(C117=3,IF(D117&gt;=8,5,4),IF(C117=2,IF(D117&gt;=7,3,2),1))</f>
      </c>
    </row>
    <row r="118" spans="1:7" x14ac:dyDescent="0.25">
      <c r="A118" s="74">
        <v>116</v>
      </c>
      <c r="B118" s="67" t="s">
        <v>249</v>
      </c>
      <c r="C118" s="20">
        <v>1</v>
      </c>
      <c r="D118" s="23">
        <v>3.55</v>
      </c>
      <c r="E118" s="75">
        <v>41.1717</v>
      </c>
      <c r="F118" s="75">
        <v>-73.254</v>
      </c>
      <c r="G118" s="69">
        <f>IF(C118=3,IF(D118&gt;=8,5,4),IF(C118=2,IF(D118&gt;=7,3,2),1))</f>
      </c>
    </row>
    <row r="119" spans="1:7" x14ac:dyDescent="0.25">
      <c r="A119" s="72">
        <v>117</v>
      </c>
      <c r="B119" s="64" t="s">
        <v>250</v>
      </c>
      <c r="C119" s="13">
        <v>1</v>
      </c>
      <c r="D119" s="17">
        <v>4.5</v>
      </c>
      <c r="E119" s="73">
        <v>40.9215</v>
      </c>
      <c r="F119" s="73">
        <v>-74.1179</v>
      </c>
      <c r="G119" s="66">
        <f>IF(C119=3,IF(D119&gt;=8,5,4),IF(C119=2,IF(D119&gt;=7,3,2),1))</f>
      </c>
    </row>
    <row r="120" spans="1:7" x14ac:dyDescent="0.25">
      <c r="A120" s="74">
        <v>118</v>
      </c>
      <c r="B120" s="67" t="s">
        <v>251</v>
      </c>
      <c r="C120" s="20">
        <v>1</v>
      </c>
      <c r="D120" s="23">
        <v>5</v>
      </c>
      <c r="E120" s="75">
        <v>39.4816</v>
      </c>
      <c r="F120" s="75">
        <v>-80.1373</v>
      </c>
      <c r="G120" s="69">
        <f>IF(C120=3,IF(D120&gt;=8,5,4),IF(C120=2,IF(D120&gt;=7,3,2),1))</f>
      </c>
    </row>
    <row r="121" spans="1:7" x14ac:dyDescent="0.25">
      <c r="A121" s="72">
        <v>119</v>
      </c>
      <c r="B121" s="64" t="s">
        <v>252</v>
      </c>
      <c r="C121" s="13">
        <v>1</v>
      </c>
      <c r="D121" s="17">
        <v>5.5</v>
      </c>
      <c r="E121" s="73">
        <v>43.6869</v>
      </c>
      <c r="F121" s="73">
        <v>-85.485</v>
      </c>
      <c r="G121" s="66">
        <f>IF(C121=3,IF(D121&gt;=8,5,4),IF(C121=2,IF(D121&gt;=7,3,2),1))</f>
      </c>
    </row>
    <row r="122" spans="1:7" x14ac:dyDescent="0.25">
      <c r="A122" s="74">
        <v>120</v>
      </c>
      <c r="B122" s="67" t="s">
        <v>253</v>
      </c>
      <c r="C122" s="20">
        <v>1</v>
      </c>
      <c r="D122" s="23">
        <v>4.5</v>
      </c>
      <c r="E122" s="75">
        <v>36.1676</v>
      </c>
      <c r="F122" s="75">
        <v>-86.8024</v>
      </c>
      <c r="G122" s="69">
        <f>IF(C122=3,IF(D122&gt;=8,5,4),IF(C122=2,IF(D122&gt;=7,3,2),1))</f>
      </c>
    </row>
    <row r="123" spans="1:7" x14ac:dyDescent="0.25">
      <c r="A123" s="72">
        <v>121</v>
      </c>
      <c r="B123" s="64" t="s">
        <v>254</v>
      </c>
      <c r="C123" s="13">
        <v>1</v>
      </c>
      <c r="D123" s="17">
        <v>6</v>
      </c>
      <c r="E123" s="73">
        <v>30.4244</v>
      </c>
      <c r="F123" s="73">
        <v>-84.2843</v>
      </c>
      <c r="G123" s="66">
        <f>IF(C123=3,IF(D123&gt;=8,5,4),IF(C123=2,IF(D123&gt;=7,3,2),1))</f>
      </c>
    </row>
    <row r="124" spans="1:7" x14ac:dyDescent="0.25">
      <c r="A124" s="74">
        <v>122</v>
      </c>
      <c r="B124" s="67" t="s">
        <v>255</v>
      </c>
      <c r="C124" s="20">
        <v>2</v>
      </c>
      <c r="D124" s="23">
        <v>5.8</v>
      </c>
      <c r="E124" s="75">
        <v>26.3709</v>
      </c>
      <c r="F124" s="75">
        <v>-80.1014</v>
      </c>
      <c r="G124" s="69">
        <f>IF(C124=3,IF(D124&gt;=8,5,4),IF(C124=2,IF(D124&gt;=7,3,2),1))</f>
      </c>
    </row>
    <row r="125" spans="1:7" x14ac:dyDescent="0.25">
      <c r="A125" s="72">
        <v>123</v>
      </c>
      <c r="B125" s="64" t="s">
        <v>256</v>
      </c>
      <c r="C125" s="13">
        <v>1</v>
      </c>
      <c r="D125" s="17">
        <v>5.5</v>
      </c>
      <c r="E125" s="73">
        <v>26.4639</v>
      </c>
      <c r="F125" s="73">
        <v>-81.7726</v>
      </c>
      <c r="G125" s="66">
        <f>IF(C125=3,IF(D125&gt;=8,5,4),IF(C125=2,IF(D125&gt;=7,3,2),1))</f>
      </c>
    </row>
    <row r="126" spans="1:7" x14ac:dyDescent="0.25">
      <c r="A126" s="74">
        <v>124</v>
      </c>
      <c r="B126" s="67" t="s">
        <v>257</v>
      </c>
      <c r="C126" s="20">
        <v>2</v>
      </c>
      <c r="D126" s="23">
        <v>5.8</v>
      </c>
      <c r="E126" s="75">
        <v>25.7562</v>
      </c>
      <c r="F126" s="75">
        <v>-80.3755</v>
      </c>
      <c r="G126" s="69">
        <f>IF(C126=3,IF(D126&gt;=8,5,4),IF(C126=2,IF(D126&gt;=7,3,2),1))</f>
      </c>
    </row>
    <row r="127" spans="1:7" x14ac:dyDescent="0.25">
      <c r="A127" s="72">
        <v>125</v>
      </c>
      <c r="B127" s="64" t="s">
        <v>258</v>
      </c>
      <c r="C127" s="13">
        <v>2</v>
      </c>
      <c r="D127" s="17">
        <v>7.13</v>
      </c>
      <c r="E127" s="73">
        <v>30.4419</v>
      </c>
      <c r="F127" s="73">
        <v>-84.2985</v>
      </c>
      <c r="G127" s="66">
        <f>IF(C127=3,IF(D127&gt;=8,5,4),IF(C127=2,IF(D127&gt;=7,3,2),1))</f>
      </c>
    </row>
    <row r="128" spans="1:7" x14ac:dyDescent="0.25">
      <c r="A128" s="74">
        <v>126</v>
      </c>
      <c r="B128" s="67" t="s">
        <v>259</v>
      </c>
      <c r="C128" s="20">
        <v>1</v>
      </c>
      <c r="D128" s="23">
        <v>4.05</v>
      </c>
      <c r="E128" s="75">
        <v>40.8621</v>
      </c>
      <c r="F128" s="75">
        <v>-73.8857</v>
      </c>
      <c r="G128" s="69">
        <f>IF(C128=3,IF(D128&gt;=8,5,4),IF(C128=2,IF(D128&gt;=7,3,2),1))</f>
      </c>
    </row>
    <row r="129" spans="1:7" x14ac:dyDescent="0.25">
      <c r="A129" s="72">
        <v>127</v>
      </c>
      <c r="B129" s="64" t="s">
        <v>260</v>
      </c>
      <c r="C129" s="13">
        <v>1</v>
      </c>
      <c r="D129" s="17">
        <v>5</v>
      </c>
      <c r="E129" s="73">
        <v>34.2005</v>
      </c>
      <c r="F129" s="73">
        <v>-79.6693</v>
      </c>
      <c r="G129" s="66">
        <f>IF(C129=3,IF(D129&gt;=8,5,4),IF(C129=2,IF(D129&gt;=7,3,2),1))</f>
      </c>
    </row>
    <row r="130" spans="1:7" x14ac:dyDescent="0.25">
      <c r="A130" s="74">
        <v>128</v>
      </c>
      <c r="B130" s="67" t="s">
        <v>261</v>
      </c>
      <c r="C130" s="20">
        <v>1</v>
      </c>
      <c r="D130" s="23">
        <v>2.8</v>
      </c>
      <c r="E130" s="75">
        <v>40.0449</v>
      </c>
      <c r="F130" s="75">
        <v>-76.31</v>
      </c>
      <c r="G130" s="69">
        <f>IF(C130=3,IF(D130&gt;=8,5,4),IF(C130=2,IF(D130&gt;=7,3,2),1))</f>
      </c>
    </row>
    <row r="131" spans="1:7" x14ac:dyDescent="0.25">
      <c r="A131" s="72">
        <v>129</v>
      </c>
      <c r="B131" s="64" t="s">
        <v>262</v>
      </c>
      <c r="C131" s="13">
        <v>1</v>
      </c>
      <c r="D131" s="17">
        <v>2.98</v>
      </c>
      <c r="E131" s="73">
        <v>34.9255</v>
      </c>
      <c r="F131" s="73">
        <v>-82.4412</v>
      </c>
      <c r="G131" s="66">
        <f>IF(C131=3,IF(D131&gt;=8,5,4),IF(C131=2,IF(D131&gt;=7,3,2),1))</f>
      </c>
    </row>
    <row r="132" spans="1:7" x14ac:dyDescent="0.25">
      <c r="A132" s="74">
        <v>130</v>
      </c>
      <c r="B132" s="67" t="s">
        <v>263</v>
      </c>
      <c r="C132" s="20">
        <v>1</v>
      </c>
      <c r="D132" s="23">
        <v>4</v>
      </c>
      <c r="E132" s="75">
        <v>38.9083</v>
      </c>
      <c r="F132" s="75">
        <v>-76.9927</v>
      </c>
      <c r="G132" s="69">
        <f>IF(C132=3,IF(D132&gt;=8,5,4),IF(C132=2,IF(D132&gt;=7,3,2),1))</f>
      </c>
    </row>
    <row r="133" spans="1:7" x14ac:dyDescent="0.25">
      <c r="A133" s="72">
        <v>131</v>
      </c>
      <c r="B133" s="64" t="s">
        <v>264</v>
      </c>
      <c r="C133" s="13">
        <v>2</v>
      </c>
      <c r="D133" s="17">
        <v>5</v>
      </c>
      <c r="E133" s="73">
        <v>38.8316</v>
      </c>
      <c r="F133" s="73">
        <v>-77.3081</v>
      </c>
      <c r="G133" s="66">
        <f>IF(C133=3,IF(D133&gt;=8,5,4),IF(C133=2,IF(D133&gt;=7,3,2),1))</f>
      </c>
    </row>
    <row r="134" spans="1:7" x14ac:dyDescent="0.25">
      <c r="A134" s="74">
        <v>132</v>
      </c>
      <c r="B134" s="67" t="s">
        <v>265</v>
      </c>
      <c r="C134" s="20">
        <v>1</v>
      </c>
      <c r="D134" s="23">
        <v>4.48</v>
      </c>
      <c r="E134" s="75">
        <v>38.8997</v>
      </c>
      <c r="F134" s="75">
        <v>-77.0488</v>
      </c>
      <c r="G134" s="69">
        <f>IF(C134=3,IF(D134&gt;=8,5,4),IF(C134=2,IF(D134&gt;=7,3,2),1))</f>
      </c>
    </row>
    <row r="135" spans="1:7" x14ac:dyDescent="0.25">
      <c r="A135" s="72">
        <v>133</v>
      </c>
      <c r="B135" s="64" t="s">
        <v>266</v>
      </c>
      <c r="C135" s="13">
        <v>1</v>
      </c>
      <c r="D135" s="17">
        <v>4.85</v>
      </c>
      <c r="E135" s="73">
        <v>38.9076</v>
      </c>
      <c r="F135" s="73">
        <v>-77.0723</v>
      </c>
      <c r="G135" s="66">
        <f>IF(C135=3,IF(D135&gt;=8,5,4),IF(C135=2,IF(D135&gt;=7,3,2),1))</f>
      </c>
    </row>
    <row r="136" spans="1:7" x14ac:dyDescent="0.25">
      <c r="A136" s="74">
        <v>134</v>
      </c>
      <c r="B136" s="67" t="s">
        <v>267</v>
      </c>
      <c r="C136" s="20">
        <v>1</v>
      </c>
      <c r="D136" s="23">
        <v>4.3</v>
      </c>
      <c r="E136" s="75">
        <v>33.7756</v>
      </c>
      <c r="F136" s="75">
        <v>-84.3963</v>
      </c>
      <c r="G136" s="69">
        <f>IF(C136=3,IF(D136&gt;=8,5,4),IF(C136=2,IF(D136&gt;=7,3,2),1))</f>
      </c>
    </row>
    <row r="137" spans="1:7" x14ac:dyDescent="0.25">
      <c r="A137" s="72">
        <v>135</v>
      </c>
      <c r="B137" s="64" t="s">
        <v>268</v>
      </c>
      <c r="C137" s="13">
        <v>2</v>
      </c>
      <c r="D137" s="17">
        <v>6.5</v>
      </c>
      <c r="E137" s="73">
        <v>32.4229</v>
      </c>
      <c r="F137" s="73">
        <v>-81.7837</v>
      </c>
      <c r="G137" s="66">
        <f>IF(C137=3,IF(D137&gt;=8,5,4),IF(C137=2,IF(D137&gt;=7,3,2),1))</f>
      </c>
    </row>
    <row r="138" spans="1:7" x14ac:dyDescent="0.25">
      <c r="A138" s="74">
        <v>136</v>
      </c>
      <c r="B138" s="67" t="s">
        <v>269</v>
      </c>
      <c r="C138" s="20">
        <v>2</v>
      </c>
      <c r="D138" s="23">
        <v>5.8</v>
      </c>
      <c r="E138" s="75">
        <v>33.753</v>
      </c>
      <c r="F138" s="75">
        <v>-84.3856</v>
      </c>
      <c r="G138" s="69">
        <f>IF(C138=3,IF(D138&gt;=8,5,4),IF(C138=2,IF(D138&gt;=7,3,2),1))</f>
      </c>
    </row>
    <row r="139" spans="1:7" x14ac:dyDescent="0.25">
      <c r="A139" s="72">
        <v>137</v>
      </c>
      <c r="B139" s="64" t="s">
        <v>270</v>
      </c>
      <c r="C139" s="13">
        <v>1</v>
      </c>
      <c r="D139" s="17">
        <v>2.78</v>
      </c>
      <c r="E139" s="73">
        <v>39.8393</v>
      </c>
      <c r="F139" s="73">
        <v>-77.2311</v>
      </c>
      <c r="G139" s="66">
        <f>IF(C139=3,IF(D139&gt;=8,5,4),IF(C139=2,IF(D139&gt;=7,3,2),1))</f>
      </c>
    </row>
    <row r="140" spans="1:7" x14ac:dyDescent="0.25">
      <c r="A140" s="74">
        <v>138</v>
      </c>
      <c r="B140" s="67" t="s">
        <v>271</v>
      </c>
      <c r="C140" s="20">
        <v>2</v>
      </c>
      <c r="D140" s="23">
        <v>5.58</v>
      </c>
      <c r="E140" s="75">
        <v>47.6671</v>
      </c>
      <c r="F140" s="75">
        <v>-117.4017</v>
      </c>
      <c r="G140" s="69">
        <f>IF(C140=3,IF(D140&gt;=8,5,4),IF(C140=2,IF(D140&gt;=7,3,2),1))</f>
      </c>
    </row>
    <row r="141" spans="1:7" x14ac:dyDescent="0.25">
      <c r="A141" s="72">
        <v>139</v>
      </c>
      <c r="B141" s="64" t="s">
        <v>272</v>
      </c>
      <c r="C141" s="13">
        <v>1</v>
      </c>
      <c r="D141" s="17">
        <v>6</v>
      </c>
      <c r="E141" s="73">
        <v>32.5253</v>
      </c>
      <c r="F141" s="73">
        <v>-92.7148</v>
      </c>
      <c r="G141" s="66">
        <f>IF(C141=3,IF(D141&gt;=8,5,4),IF(C141=2,IF(D141&gt;=7,3,2),1))</f>
      </c>
    </row>
    <row r="142" spans="1:7" x14ac:dyDescent="0.25">
      <c r="A142" s="74">
        <v>140</v>
      </c>
      <c r="B142" s="67" t="s">
        <v>273</v>
      </c>
      <c r="C142" s="20">
        <v>1</v>
      </c>
      <c r="D142" s="23">
        <v>4</v>
      </c>
      <c r="E142" s="75">
        <v>33.5076</v>
      </c>
      <c r="F142" s="75">
        <v>-112.126</v>
      </c>
      <c r="G142" s="69">
        <f>IF(C142=3,IF(D142&gt;=8,5,4),IF(C142=2,IF(D142&gt;=7,3,2),1))</f>
      </c>
    </row>
    <row r="143" spans="1:7" x14ac:dyDescent="0.25">
      <c r="A143" s="72">
        <v>141</v>
      </c>
      <c r="B143" s="64" t="s">
        <v>274</v>
      </c>
      <c r="C143" s="13">
        <v>1</v>
      </c>
      <c r="D143" s="17">
        <v>5.5</v>
      </c>
      <c r="E143" s="73">
        <v>42.9632</v>
      </c>
      <c r="F143" s="73">
        <v>-85.8884</v>
      </c>
      <c r="G143" s="66">
        <f>IF(C143=3,IF(D143&gt;=8,5,4),IF(C143=2,IF(D143&gt;=7,3,2),1))</f>
      </c>
    </row>
    <row r="144" spans="1:7" x14ac:dyDescent="0.25">
      <c r="A144" s="74">
        <v>142</v>
      </c>
      <c r="B144" s="67" t="s">
        <v>275</v>
      </c>
      <c r="C144" s="20">
        <v>1</v>
      </c>
      <c r="D144" s="23">
        <v>3.68</v>
      </c>
      <c r="E144" s="75">
        <v>41.7469</v>
      </c>
      <c r="F144" s="75">
        <v>-92.7227</v>
      </c>
      <c r="G144" s="69">
        <f>IF(C144=3,IF(D144&gt;=8,5,4),IF(C144=2,IF(D144&gt;=7,3,2),1))</f>
      </c>
    </row>
    <row r="145" spans="1:7" x14ac:dyDescent="0.25">
      <c r="A145" s="72">
        <v>143</v>
      </c>
      <c r="B145" s="64" t="s">
        <v>276</v>
      </c>
      <c r="C145" s="13">
        <v>1</v>
      </c>
      <c r="D145" s="17">
        <v>3.1</v>
      </c>
      <c r="E145" s="73">
        <v>44.3222</v>
      </c>
      <c r="F145" s="73">
        <v>-93.9728</v>
      </c>
      <c r="G145" s="66">
        <f>IF(C145=3,IF(D145&gt;=8,5,4),IF(C145=2,IF(D145&gt;=7,3,2),1))</f>
      </c>
    </row>
    <row r="146" spans="1:7" x14ac:dyDescent="0.25">
      <c r="A146" s="74">
        <v>144</v>
      </c>
      <c r="B146" s="67" t="s">
        <v>277</v>
      </c>
      <c r="C146" s="20">
        <v>1</v>
      </c>
      <c r="D146" s="23">
        <v>3.73</v>
      </c>
      <c r="E146" s="75">
        <v>43.0528</v>
      </c>
      <c r="F146" s="75">
        <v>-75.4058</v>
      </c>
      <c r="G146" s="69">
        <f>IF(C146=3,IF(D146&gt;=8,5,4),IF(C146=2,IF(D146&gt;=7,3,2),1))</f>
      </c>
    </row>
    <row r="147" spans="1:7" x14ac:dyDescent="0.25">
      <c r="A147" s="72">
        <v>145</v>
      </c>
      <c r="B147" s="64" t="s">
        <v>278</v>
      </c>
      <c r="C147" s="13">
        <v>1</v>
      </c>
      <c r="D147" s="17">
        <v>3.33</v>
      </c>
      <c r="E147" s="73">
        <v>37.2431</v>
      </c>
      <c r="F147" s="73">
        <v>-78.7164</v>
      </c>
      <c r="G147" s="66">
        <f>IF(C147=3,IF(D147&gt;=8,5,4),IF(C147=2,IF(D147&gt;=7,3,2),1))</f>
      </c>
    </row>
    <row r="148" spans="1:7" x14ac:dyDescent="0.25">
      <c r="A148" s="74">
        <v>146</v>
      </c>
      <c r="B148" s="67" t="s">
        <v>279</v>
      </c>
      <c r="C148" s="20">
        <v>1</v>
      </c>
      <c r="D148" s="23">
        <v>5.5</v>
      </c>
      <c r="E148" s="75">
        <v>37.0199</v>
      </c>
      <c r="F148" s="75">
        <v>-76.3379</v>
      </c>
      <c r="G148" s="69">
        <f>IF(C148=3,IF(D148&gt;=8,5,4),IF(C148=2,IF(D148&gt;=7,3,2),1))</f>
      </c>
    </row>
    <row r="149" spans="1:7" x14ac:dyDescent="0.25">
      <c r="A149" s="72">
        <v>147</v>
      </c>
      <c r="B149" s="64" t="s">
        <v>280</v>
      </c>
      <c r="C149" s="13">
        <v>1</v>
      </c>
      <c r="D149" s="17">
        <v>4.08</v>
      </c>
      <c r="E149" s="73">
        <v>42.377</v>
      </c>
      <c r="F149" s="73">
        <v>-71.1167</v>
      </c>
      <c r="G149" s="66">
        <f>IF(C149=3,IF(D149&gt;=8,5,4),IF(C149=2,IF(D149&gt;=7,3,2),1))</f>
      </c>
    </row>
    <row r="150" spans="1:7" x14ac:dyDescent="0.25">
      <c r="A150" s="74">
        <v>148</v>
      </c>
      <c r="B150" s="67" t="s">
        <v>281</v>
      </c>
      <c r="C150" s="20">
        <v>1</v>
      </c>
      <c r="D150" s="23">
        <v>3.58</v>
      </c>
      <c r="E150" s="75">
        <v>34.1063</v>
      </c>
      <c r="F150" s="75">
        <v>-117.7106</v>
      </c>
      <c r="G150" s="69">
        <f>IF(C150=3,IF(D150&gt;=8,5,4),IF(C150=2,IF(D150&gt;=7,3,2),1))</f>
      </c>
    </row>
    <row r="151" spans="1:7" x14ac:dyDescent="0.25">
      <c r="A151" s="72">
        <v>149</v>
      </c>
      <c r="B151" s="64" t="s">
        <v>282</v>
      </c>
      <c r="C151" s="13">
        <v>1</v>
      </c>
      <c r="D151" s="17">
        <v>3.8</v>
      </c>
      <c r="E151" s="73">
        <v>40.0091</v>
      </c>
      <c r="F151" s="73">
        <v>-75.3063</v>
      </c>
      <c r="G151" s="66">
        <f>IF(C151=3,IF(D151&gt;=8,5,4),IF(C151=2,IF(D151&gt;=7,3,2),1))</f>
      </c>
    </row>
    <row r="152" spans="1:7" x14ac:dyDescent="0.25">
      <c r="A152" s="74">
        <v>150</v>
      </c>
      <c r="B152" s="67" t="s">
        <v>283</v>
      </c>
      <c r="C152" s="20">
        <v>1</v>
      </c>
      <c r="D152" s="23">
        <v>5</v>
      </c>
      <c r="E152" s="75">
        <v>34.127</v>
      </c>
      <c r="F152" s="75">
        <v>-93.0582</v>
      </c>
      <c r="G152" s="69">
        <f>IF(C152=3,IF(D152&gt;=8,5,4),IF(C152=2,IF(D152&gt;=7,3,2),1))</f>
      </c>
    </row>
    <row r="153" spans="1:7" x14ac:dyDescent="0.25">
      <c r="A153" s="72">
        <v>151</v>
      </c>
      <c r="B153" s="64" t="s">
        <v>284</v>
      </c>
      <c r="C153" s="13">
        <v>1</v>
      </c>
      <c r="D153" s="17">
        <v>3.73</v>
      </c>
      <c r="E153" s="73">
        <v>35.0988</v>
      </c>
      <c r="F153" s="73">
        <v>-92.4343</v>
      </c>
      <c r="G153" s="66">
        <f>IF(C153=3,IF(D153&gt;=8,5,4),IF(C153=2,IF(D153&gt;=7,3,2),1))</f>
      </c>
    </row>
    <row r="154" spans="1:7" x14ac:dyDescent="0.25">
      <c r="A154" s="74">
        <v>152</v>
      </c>
      <c r="B154" s="67" t="s">
        <v>285</v>
      </c>
      <c r="C154" s="20">
        <v>2</v>
      </c>
      <c r="D154" s="23">
        <v>5.45</v>
      </c>
      <c r="E154" s="75">
        <v>35.9707</v>
      </c>
      <c r="F154" s="75">
        <v>-80.0065</v>
      </c>
      <c r="G154" s="69">
        <f>IF(C154=3,IF(D154&gt;=8,5,4),IF(C154=2,IF(D154&gt;=7,3,2),1))</f>
      </c>
    </row>
    <row r="155" spans="1:7" x14ac:dyDescent="0.25">
      <c r="A155" s="72">
        <v>153</v>
      </c>
      <c r="B155" s="64" t="s">
        <v>286</v>
      </c>
      <c r="C155" s="13">
        <v>2</v>
      </c>
      <c r="D155" s="17">
        <v>5.35</v>
      </c>
      <c r="E155" s="73">
        <v>40.7149</v>
      </c>
      <c r="F155" s="73">
        <v>-73.6007</v>
      </c>
      <c r="G155" s="66">
        <f>IF(C155=3,IF(D155&gt;=8,5,4),IF(C155=2,IF(D155&gt;=7,3,2),1))</f>
      </c>
    </row>
    <row r="156" spans="1:7" x14ac:dyDescent="0.25">
      <c r="A156" s="74">
        <v>154</v>
      </c>
      <c r="B156" s="67" t="s">
        <v>287</v>
      </c>
      <c r="C156" s="20">
        <v>1</v>
      </c>
      <c r="D156" s="23">
        <v>3.38</v>
      </c>
      <c r="E156" s="75">
        <v>42.2362</v>
      </c>
      <c r="F156" s="75">
        <v>-71.8083</v>
      </c>
      <c r="G156" s="69">
        <f>IF(C156=3,IF(D156&gt;=8,5,4),IF(C156=2,IF(D156&gt;=7,3,2),1))</f>
      </c>
    </row>
    <row r="157" spans="1:7" x14ac:dyDescent="0.25">
      <c r="A157" s="72">
        <v>155</v>
      </c>
      <c r="B157" s="64" t="s">
        <v>288</v>
      </c>
      <c r="C157" s="13">
        <v>1</v>
      </c>
      <c r="D157" s="17">
        <v>2.75</v>
      </c>
      <c r="E157" s="73">
        <v>42.7876</v>
      </c>
      <c r="F157" s="73">
        <v>-86.1039</v>
      </c>
      <c r="G157" s="66">
        <f>IF(C157=3,IF(D157&gt;=8,5,4),IF(C157=2,IF(D157&gt;=7,3,2),1))</f>
      </c>
    </row>
    <row r="158" spans="1:7" x14ac:dyDescent="0.25">
      <c r="A158" s="74">
        <v>156</v>
      </c>
      <c r="B158" s="67" t="s">
        <v>289</v>
      </c>
      <c r="C158" s="20">
        <v>2</v>
      </c>
      <c r="D158" s="23">
        <v>6</v>
      </c>
      <c r="E158" s="75">
        <v>38.9224</v>
      </c>
      <c r="F158" s="75">
        <v>-77.0198</v>
      </c>
      <c r="G158" s="69">
        <f>IF(C158=3,IF(D158&gt;=8,5,4),IF(C158=2,IF(D158&gt;=7,3,2),1))</f>
      </c>
    </row>
    <row r="159" spans="1:7" x14ac:dyDescent="0.25">
      <c r="A159" s="72">
        <v>157</v>
      </c>
      <c r="B159" s="64" t="s">
        <v>290</v>
      </c>
      <c r="C159" s="13">
        <v>1</v>
      </c>
      <c r="D159" s="17">
        <v>5.5</v>
      </c>
      <c r="E159" s="73">
        <v>40.8765</v>
      </c>
      <c r="F159" s="73">
        <v>-124.0786</v>
      </c>
      <c r="G159" s="66">
        <f>IF(C159=3,IF(D159&gt;=8,5,4),IF(C159=2,IF(D159&gt;=7,3,2),1))</f>
      </c>
    </row>
    <row r="160" spans="1:7" x14ac:dyDescent="0.25">
      <c r="A160" s="74">
        <v>158</v>
      </c>
      <c r="B160" s="67" t="s">
        <v>291</v>
      </c>
      <c r="C160" s="20">
        <v>1</v>
      </c>
      <c r="D160" s="23">
        <v>4.3</v>
      </c>
      <c r="E160" s="75">
        <v>41.8349</v>
      </c>
      <c r="F160" s="75">
        <v>-87.627</v>
      </c>
      <c r="G160" s="69">
        <f>IF(C160=3,IF(D160&gt;=8,5,4),IF(C160=2,IF(D160&gt;=7,3,2),1))</f>
      </c>
    </row>
    <row r="161" spans="1:7" x14ac:dyDescent="0.25">
      <c r="A161" s="72">
        <v>159</v>
      </c>
      <c r="B161" s="64" t="s">
        <v>292</v>
      </c>
      <c r="C161" s="13">
        <v>2</v>
      </c>
      <c r="D161" s="17">
        <v>6.5</v>
      </c>
      <c r="E161" s="73">
        <v>40.5103</v>
      </c>
      <c r="F161" s="73">
        <v>-88.9986</v>
      </c>
      <c r="G161" s="66">
        <f>IF(C161=3,IF(D161&gt;=8,5,4),IF(C161=2,IF(D161&gt;=7,3,2),1))</f>
      </c>
    </row>
    <row r="162" spans="1:7" x14ac:dyDescent="0.25">
      <c r="A162" s="74">
        <v>160</v>
      </c>
      <c r="B162" s="67" t="s">
        <v>293</v>
      </c>
      <c r="C162" s="20">
        <v>1</v>
      </c>
      <c r="D162" s="23">
        <v>6</v>
      </c>
      <c r="E162" s="75">
        <v>39.4656</v>
      </c>
      <c r="F162" s="75">
        <v>-87.4074</v>
      </c>
      <c r="G162" s="69">
        <f>IF(C162=3,IF(D162&gt;=8,5,4),IF(C162=2,IF(D162&gt;=7,3,2),1))</f>
      </c>
    </row>
    <row r="163" spans="1:7" x14ac:dyDescent="0.25">
      <c r="A163" s="72">
        <v>161</v>
      </c>
      <c r="B163" s="64" t="s">
        <v>294</v>
      </c>
      <c r="C163" s="13">
        <v>3</v>
      </c>
      <c r="D163" s="17">
        <v>8.33</v>
      </c>
      <c r="E163" s="73">
        <v>39.1653</v>
      </c>
      <c r="F163" s="73">
        <v>-86.5264</v>
      </c>
      <c r="G163" s="66">
        <f>IF(C163=3,IF(D163&gt;=8,5,4),IF(C163=2,IF(D163&gt;=7,3,2),1))</f>
      </c>
    </row>
    <row r="164" spans="1:7" x14ac:dyDescent="0.25">
      <c r="A164" s="74">
        <v>162</v>
      </c>
      <c r="B164" s="67" t="s">
        <v>295</v>
      </c>
      <c r="C164" s="20">
        <v>1</v>
      </c>
      <c r="D164" s="23">
        <v>6.5</v>
      </c>
      <c r="E164" s="75">
        <v>40.6172</v>
      </c>
      <c r="F164" s="75">
        <v>-79.156</v>
      </c>
      <c r="G164" s="69">
        <f>IF(C164=3,IF(D164&gt;=8,5,4),IF(C164=2,IF(D164&gt;=7,3,2),1))</f>
      </c>
    </row>
    <row r="165" spans="1:7" x14ac:dyDescent="0.25">
      <c r="A165" s="72">
        <v>163</v>
      </c>
      <c r="B165" s="64" t="s">
        <v>296</v>
      </c>
      <c r="C165" s="13">
        <v>2</v>
      </c>
      <c r="D165" s="17">
        <v>5</v>
      </c>
      <c r="E165" s="73">
        <v>39.774</v>
      </c>
      <c r="F165" s="73">
        <v>-86.1753</v>
      </c>
      <c r="G165" s="66">
        <f>IF(C165=3,IF(D165&gt;=8,5,4),IF(C165=2,IF(D165&gt;=7,3,2),1))</f>
      </c>
    </row>
    <row r="166" spans="1:7" x14ac:dyDescent="0.25">
      <c r="A166" s="74">
        <v>164</v>
      </c>
      <c r="B166" s="67" t="s">
        <v>297</v>
      </c>
      <c r="C166" s="20">
        <v>1</v>
      </c>
      <c r="D166" s="23">
        <v>5</v>
      </c>
      <c r="E166" s="75">
        <v>40.92</v>
      </c>
      <c r="F166" s="75">
        <v>-73.7866</v>
      </c>
      <c r="G166" s="69">
        <f>IF(C166=3,IF(D166&gt;=8,5,4),IF(C166=2,IF(D166&gt;=7,3,2),1))</f>
      </c>
    </row>
    <row r="167" spans="1:7" x14ac:dyDescent="0.25">
      <c r="A167" s="72">
        <v>165</v>
      </c>
      <c r="B167" s="64" t="s">
        <v>298</v>
      </c>
      <c r="C167" s="13">
        <v>2</v>
      </c>
      <c r="D167" s="17">
        <v>6.45</v>
      </c>
      <c r="E167" s="73">
        <v>42.0267</v>
      </c>
      <c r="F167" s="73">
        <v>-93.6465</v>
      </c>
      <c r="G167" s="66">
        <f>IF(C167=3,IF(D167&gt;=8,5,4),IF(C167=2,IF(D167&gt;=7,3,2),1))</f>
      </c>
    </row>
    <row r="168" spans="1:7" x14ac:dyDescent="0.25">
      <c r="A168" s="74">
        <v>166</v>
      </c>
      <c r="B168" s="67" t="s">
        <v>299</v>
      </c>
      <c r="C168" s="20">
        <v>1</v>
      </c>
      <c r="D168" s="23">
        <v>3.3</v>
      </c>
      <c r="E168" s="75">
        <v>42.4231</v>
      </c>
      <c r="F168" s="75">
        <v>-76.4947</v>
      </c>
      <c r="G168" s="69">
        <f>IF(C168=3,IF(D168&gt;=8,5,4),IF(C168=2,IF(D168&gt;=7,3,2),1))</f>
      </c>
    </row>
    <row r="169" spans="1:7" x14ac:dyDescent="0.25">
      <c r="A169" s="72">
        <v>167</v>
      </c>
      <c r="B169" s="64" t="s">
        <v>300</v>
      </c>
      <c r="C169" s="13">
        <v>1</v>
      </c>
      <c r="D169" s="17">
        <v>5.5</v>
      </c>
      <c r="E169" s="73">
        <v>32.2969</v>
      </c>
      <c r="F169" s="73">
        <v>-90.2094</v>
      </c>
      <c r="G169" s="66">
        <f>IF(C169=3,IF(D169&gt;=8,5,4),IF(C169=2,IF(D169&gt;=7,3,2),1))</f>
      </c>
    </row>
    <row r="170" spans="1:7" x14ac:dyDescent="0.25">
      <c r="A170" s="74">
        <v>168</v>
      </c>
      <c r="B170" s="67" t="s">
        <v>301</v>
      </c>
      <c r="C170" s="20">
        <v>1</v>
      </c>
      <c r="D170" s="23">
        <v>5.5</v>
      </c>
      <c r="E170" s="75">
        <v>33.8218</v>
      </c>
      <c r="F170" s="75">
        <v>-85.768</v>
      </c>
      <c r="G170" s="69">
        <f>IF(C170=3,IF(D170&gt;=8,5,4),IF(C170=2,IF(D170&gt;=7,3,2),1))</f>
      </c>
    </row>
    <row r="171" spans="1:7" x14ac:dyDescent="0.25">
      <c r="A171" s="72">
        <v>169</v>
      </c>
      <c r="B171" s="64" t="s">
        <v>302</v>
      </c>
      <c r="C171" s="13">
        <v>1</v>
      </c>
      <c r="D171" s="17">
        <v>4.5</v>
      </c>
      <c r="E171" s="73">
        <v>30.3533</v>
      </c>
      <c r="F171" s="73">
        <v>-81.6029</v>
      </c>
      <c r="G171" s="66">
        <f>IF(C171=3,IF(D171&gt;=8,5,4),IF(C171=2,IF(D171&gt;=7,3,2),1))</f>
      </c>
    </row>
    <row r="172" spans="1:7" x14ac:dyDescent="0.25">
      <c r="A172" s="74">
        <v>170</v>
      </c>
      <c r="B172" s="67" t="s">
        <v>303</v>
      </c>
      <c r="C172" s="20">
        <v>2</v>
      </c>
      <c r="D172" s="23">
        <v>6.3</v>
      </c>
      <c r="E172" s="75">
        <v>38.4348</v>
      </c>
      <c r="F172" s="75">
        <v>-78.869</v>
      </c>
      <c r="G172" s="69">
        <f>IF(C172=3,IF(D172&gt;=8,5,4),IF(C172=2,IF(D172&gt;=7,3,2),1))</f>
      </c>
    </row>
    <row r="173" spans="1:7" x14ac:dyDescent="0.25">
      <c r="A173" s="72">
        <v>171</v>
      </c>
      <c r="B173" s="64" t="s">
        <v>304</v>
      </c>
      <c r="C173" s="13">
        <v>1</v>
      </c>
      <c r="D173" s="17">
        <v>4.75</v>
      </c>
      <c r="E173" s="73">
        <v>39.3299</v>
      </c>
      <c r="F173" s="73">
        <v>-76.6205</v>
      </c>
      <c r="G173" s="66">
        <f>IF(C173=3,IF(D173&gt;=8,5,4),IF(C173=2,IF(D173&gt;=7,3,2),1))</f>
      </c>
    </row>
    <row r="174" spans="1:7" x14ac:dyDescent="0.25">
      <c r="A174" s="74">
        <v>172</v>
      </c>
      <c r="B174" s="67" t="s">
        <v>305</v>
      </c>
      <c r="C174" s="20">
        <v>1</v>
      </c>
      <c r="D174" s="23">
        <v>2.8</v>
      </c>
      <c r="E174" s="75">
        <v>42.2903</v>
      </c>
      <c r="F174" s="75">
        <v>-85.5986</v>
      </c>
      <c r="G174" s="69">
        <f>IF(C174=3,IF(D174&gt;=8,5,4),IF(C174=2,IF(D174&gt;=7,3,2),1))</f>
      </c>
    </row>
    <row r="175" spans="1:7" x14ac:dyDescent="0.25">
      <c r="A175" s="72">
        <v>173</v>
      </c>
      <c r="B175" s="64" t="s">
        <v>306</v>
      </c>
      <c r="C175" s="13">
        <v>2</v>
      </c>
      <c r="D175" s="17">
        <v>6.13</v>
      </c>
      <c r="E175" s="73">
        <v>39.1836</v>
      </c>
      <c r="F175" s="73">
        <v>-96.5717</v>
      </c>
      <c r="G175" s="66">
        <f>IF(C175=3,IF(D175&gt;=8,5,4),IF(C175=2,IF(D175&gt;=7,3,2),1))</f>
      </c>
    </row>
    <row r="176" spans="1:7" x14ac:dyDescent="0.25">
      <c r="A176" s="74">
        <v>174</v>
      </c>
      <c r="B176" s="67" t="s">
        <v>307</v>
      </c>
      <c r="C176" s="20">
        <v>1</v>
      </c>
      <c r="D176" s="23">
        <v>5</v>
      </c>
      <c r="E176" s="75">
        <v>40.681</v>
      </c>
      <c r="F176" s="75">
        <v>-74.2346</v>
      </c>
      <c r="G176" s="69">
        <f>IF(C176=3,IF(D176&gt;=8,5,4),IF(C176=2,IF(D176&gt;=7,3,2),1))</f>
      </c>
    </row>
    <row r="177" spans="1:7" x14ac:dyDescent="0.25">
      <c r="A177" s="72">
        <v>175</v>
      </c>
      <c r="B177" s="64" t="s">
        <v>308</v>
      </c>
      <c r="C177" s="13">
        <v>1</v>
      </c>
      <c r="D177" s="17">
        <v>5.5</v>
      </c>
      <c r="E177" s="73">
        <v>42.9314</v>
      </c>
      <c r="F177" s="73">
        <v>-72.2811</v>
      </c>
      <c r="G177" s="66">
        <f>IF(C177=3,IF(D177&gt;=8,5,4),IF(C177=2,IF(D177&gt;=7,3,2),1))</f>
      </c>
    </row>
    <row r="178" spans="1:7" x14ac:dyDescent="0.25">
      <c r="A178" s="74">
        <v>176</v>
      </c>
      <c r="B178" s="67" t="s">
        <v>309</v>
      </c>
      <c r="C178" s="20">
        <v>2</v>
      </c>
      <c r="D178" s="23">
        <v>5.5</v>
      </c>
      <c r="E178" s="75">
        <v>34.0378</v>
      </c>
      <c r="F178" s="75">
        <v>-84.581</v>
      </c>
      <c r="G178" s="69">
        <f>IF(C178=3,IF(D178&gt;=8,5,4),IF(C178=2,IF(D178&gt;=7,3,2),1))</f>
      </c>
    </row>
    <row r="179" spans="1:7" x14ac:dyDescent="0.25">
      <c r="A179" s="72">
        <v>177</v>
      </c>
      <c r="B179" s="64" t="s">
        <v>310</v>
      </c>
      <c r="C179" s="13">
        <v>2</v>
      </c>
      <c r="D179" s="17">
        <v>6.5</v>
      </c>
      <c r="E179" s="73">
        <v>41.1489</v>
      </c>
      <c r="F179" s="73">
        <v>-81.3409</v>
      </c>
      <c r="G179" s="66">
        <f>IF(C179=3,IF(D179&gt;=8,5,4),IF(C179=2,IF(D179&gt;=7,3,2),1))</f>
      </c>
    </row>
    <row r="180" spans="1:7" x14ac:dyDescent="0.25">
      <c r="A180" s="74">
        <v>178</v>
      </c>
      <c r="B180" s="67" t="s">
        <v>311</v>
      </c>
      <c r="C180" s="20">
        <v>1</v>
      </c>
      <c r="D180" s="23">
        <v>3.48</v>
      </c>
      <c r="E180" s="75">
        <v>40.3756</v>
      </c>
      <c r="F180" s="75">
        <v>-82.3967</v>
      </c>
      <c r="G180" s="69">
        <f>IF(C180=3,IF(D180&gt;=8,5,4),IF(C180=2,IF(D180&gt;=7,3,2),1))</f>
      </c>
    </row>
    <row r="181" spans="1:7" x14ac:dyDescent="0.25">
      <c r="A181" s="72">
        <v>179</v>
      </c>
      <c r="B181" s="64" t="s">
        <v>312</v>
      </c>
      <c r="C181" s="13">
        <v>1</v>
      </c>
      <c r="D181" s="17">
        <v>2.9</v>
      </c>
      <c r="E181" s="73">
        <v>40.9464</v>
      </c>
      <c r="F181" s="73">
        <v>-90.3712</v>
      </c>
      <c r="G181" s="66">
        <f>IF(C181=3,IF(D181&gt;=8,5,4),IF(C181=2,IF(D181&gt;=7,3,2),1))</f>
      </c>
    </row>
    <row r="182" spans="1:7" x14ac:dyDescent="0.25">
      <c r="A182" s="74">
        <v>180</v>
      </c>
      <c r="B182" s="67" t="s">
        <v>313</v>
      </c>
      <c r="C182" s="20">
        <v>1</v>
      </c>
      <c r="D182" s="23">
        <v>6</v>
      </c>
      <c r="E182" s="75">
        <v>40.5159</v>
      </c>
      <c r="F182" s="75">
        <v>-75.7757</v>
      </c>
      <c r="G182" s="69">
        <f>IF(C182=3,IF(D182&gt;=8,5,4),IF(C182=2,IF(D182&gt;=7,3,2),1))</f>
      </c>
    </row>
    <row r="183" spans="1:7" x14ac:dyDescent="0.25">
      <c r="A183" s="72">
        <v>181</v>
      </c>
      <c r="B183" s="64" t="s">
        <v>314</v>
      </c>
      <c r="C183" s="13">
        <v>1</v>
      </c>
      <c r="D183" s="17">
        <v>3.4</v>
      </c>
      <c r="E183" s="73">
        <v>40.6978</v>
      </c>
      <c r="F183" s="73">
        <v>-75.2123</v>
      </c>
      <c r="G183" s="66">
        <f>IF(C183=3,IF(D183&gt;=8,5,4),IF(C183=2,IF(D183&gt;=7,3,2),1))</f>
      </c>
    </row>
    <row r="184" spans="1:7" x14ac:dyDescent="0.25">
      <c r="A184" s="74">
        <v>182</v>
      </c>
      <c r="B184" s="67" t="s">
        <v>315</v>
      </c>
      <c r="C184" s="20">
        <v>1</v>
      </c>
      <c r="D184" s="23">
        <v>2.85</v>
      </c>
      <c r="E184" s="75">
        <v>42.2508</v>
      </c>
      <c r="F184" s="75">
        <v>-87.8413</v>
      </c>
      <c r="G184" s="69">
        <f>IF(C184=3,IF(D184&gt;=8,5,4),IF(C184=2,IF(D184&gt;=7,3,2),1))</f>
      </c>
    </row>
    <row r="185" spans="1:7" x14ac:dyDescent="0.25">
      <c r="A185" s="72">
        <v>183</v>
      </c>
      <c r="B185" s="64" t="s">
        <v>316</v>
      </c>
      <c r="C185" s="13">
        <v>1</v>
      </c>
      <c r="D185" s="17">
        <v>5</v>
      </c>
      <c r="E185" s="73">
        <v>30.0513</v>
      </c>
      <c r="F185" s="73">
        <v>-94.0531</v>
      </c>
      <c r="G185" s="66">
        <f>IF(C185=3,IF(D185&gt;=8,5,4),IF(C185=2,IF(D185&gt;=7,3,2),1))</f>
      </c>
    </row>
    <row r="186" spans="1:7" x14ac:dyDescent="0.25">
      <c r="A186" s="74">
        <v>184</v>
      </c>
      <c r="B186" s="67" t="s">
        <v>317</v>
      </c>
      <c r="C186" s="20">
        <v>1</v>
      </c>
      <c r="D186" s="23">
        <v>4.5</v>
      </c>
      <c r="E186" s="75">
        <v>43.038</v>
      </c>
      <c r="F186" s="75">
        <v>-76.076</v>
      </c>
      <c r="G186" s="69">
        <f>IF(C186=3,IF(D186&gt;=8,5,4),IF(C186=2,IF(D186&gt;=7,3,2),1))</f>
      </c>
    </row>
    <row r="187" spans="1:7" x14ac:dyDescent="0.25">
      <c r="A187" s="72">
        <v>185</v>
      </c>
      <c r="B187" s="64" t="s">
        <v>318</v>
      </c>
      <c r="C187" s="13">
        <v>2</v>
      </c>
      <c r="D187" s="17">
        <v>5.75</v>
      </c>
      <c r="E187" s="73">
        <v>40.6069</v>
      </c>
      <c r="F187" s="73">
        <v>-75.3783</v>
      </c>
      <c r="G187" s="66">
        <f>IF(C187=3,IF(D187&gt;=8,5,4),IF(C187=2,IF(D187&gt;=7,3,2),1))</f>
      </c>
    </row>
    <row r="188" spans="1:7" x14ac:dyDescent="0.25">
      <c r="A188" s="74">
        <v>186</v>
      </c>
      <c r="B188" s="67" t="s">
        <v>319</v>
      </c>
      <c r="C188" s="20">
        <v>1</v>
      </c>
      <c r="D188" s="23">
        <v>3.1</v>
      </c>
      <c r="E188" s="75">
        <v>45.4502</v>
      </c>
      <c r="F188" s="75">
        <v>-122.672</v>
      </c>
      <c r="G188" s="69">
        <f>IF(C188=3,IF(D188&gt;=8,5,4),IF(C188=2,IF(D188&gt;=7,3,2),1))</f>
      </c>
    </row>
    <row r="189" spans="1:7" x14ac:dyDescent="0.25">
      <c r="A189" s="72">
        <v>187</v>
      </c>
      <c r="B189" s="64" t="s">
        <v>320</v>
      </c>
      <c r="C189" s="13">
        <v>2</v>
      </c>
      <c r="D189" s="17">
        <v>3</v>
      </c>
      <c r="E189" s="73">
        <v>37.3529</v>
      </c>
      <c r="F189" s="73">
        <v>-79.1733</v>
      </c>
      <c r="G189" s="66">
        <f>IF(C189=3,IF(D189&gt;=8,5,4),IF(C189=2,IF(D189&gt;=7,3,2),1))</f>
      </c>
    </row>
    <row r="190" spans="1:7" x14ac:dyDescent="0.25">
      <c r="A190" s="74">
        <v>188</v>
      </c>
      <c r="B190" s="67" t="s">
        <v>321</v>
      </c>
      <c r="C190" s="20">
        <v>1</v>
      </c>
      <c r="D190" s="23">
        <v>4.5</v>
      </c>
      <c r="E190" s="75">
        <v>40.6881</v>
      </c>
      <c r="F190" s="75">
        <v>-73.9794</v>
      </c>
      <c r="G190" s="69">
        <f>IF(C190=3,IF(D190&gt;=8,5,4),IF(C190=2,IF(D190&gt;=7,3,2),1))</f>
      </c>
    </row>
    <row r="191" spans="1:7" x14ac:dyDescent="0.25">
      <c r="A191" s="72">
        <v>189</v>
      </c>
      <c r="B191" s="64" t="s">
        <v>322</v>
      </c>
      <c r="C191" s="13">
        <v>1</v>
      </c>
      <c r="D191" s="17">
        <v>5.5</v>
      </c>
      <c r="E191" s="73">
        <v>37.2973</v>
      </c>
      <c r="F191" s="73">
        <v>-78.392</v>
      </c>
      <c r="G191" s="66">
        <f>IF(C191=3,IF(D191&gt;=8,5,4),IF(C191=2,IF(D191&gt;=7,3,2),1))</f>
      </c>
    </row>
    <row r="192" spans="1:7" x14ac:dyDescent="0.25">
      <c r="A192" s="74">
        <v>190</v>
      </c>
      <c r="B192" s="67" t="s">
        <v>323</v>
      </c>
      <c r="C192" s="20">
        <v>3</v>
      </c>
      <c r="D192" s="23">
        <v>8</v>
      </c>
      <c r="E192" s="75">
        <v>30.4133</v>
      </c>
      <c r="F192" s="75">
        <v>-91.18</v>
      </c>
      <c r="G192" s="69">
        <f>IF(C192=3,IF(D192&gt;=8,5,4),IF(C192=2,IF(D192&gt;=7,3,2),1))</f>
      </c>
    </row>
    <row r="193" spans="1:7" x14ac:dyDescent="0.25">
      <c r="A193" s="72">
        <v>191</v>
      </c>
      <c r="B193" s="64" t="s">
        <v>324</v>
      </c>
      <c r="C193" s="13">
        <v>1</v>
      </c>
      <c r="D193" s="17">
        <v>5.5</v>
      </c>
      <c r="E193" s="73">
        <v>32.5287</v>
      </c>
      <c r="F193" s="73">
        <v>-92.6461</v>
      </c>
      <c r="G193" s="66">
        <f>IF(C193=3,IF(D193&gt;=8,5,4),IF(C193=2,IF(D193&gt;=7,3,2),1))</f>
      </c>
    </row>
    <row r="194" spans="1:7" x14ac:dyDescent="0.25">
      <c r="A194" s="74">
        <v>192</v>
      </c>
      <c r="B194" s="67" t="s">
        <v>325</v>
      </c>
      <c r="C194" s="20">
        <v>2</v>
      </c>
      <c r="D194" s="23">
        <v>5.6</v>
      </c>
      <c r="E194" s="75">
        <v>33.97</v>
      </c>
      <c r="F194" s="75">
        <v>-118.4184</v>
      </c>
      <c r="G194" s="69">
        <f>IF(C194=3,IF(D194&gt;=8,5,4),IF(C194=2,IF(D194&gt;=7,3,2),1))</f>
      </c>
    </row>
    <row r="195" spans="1:7" x14ac:dyDescent="0.25">
      <c r="A195" s="72">
        <v>193</v>
      </c>
      <c r="B195" s="64" t="s">
        <v>326</v>
      </c>
      <c r="C195" s="13">
        <v>1</v>
      </c>
      <c r="D195" s="17">
        <v>4.1</v>
      </c>
      <c r="E195" s="73">
        <v>41.9998</v>
      </c>
      <c r="F195" s="73">
        <v>-87.6589</v>
      </c>
      <c r="G195" s="66">
        <f>IF(C195=3,IF(D195&gt;=8,5,4),IF(C195=2,IF(D195&gt;=7,3,2),1))</f>
      </c>
    </row>
    <row r="196" spans="1:7" x14ac:dyDescent="0.25">
      <c r="A196" s="74">
        <v>194</v>
      </c>
      <c r="B196" s="67" t="s">
        <v>327</v>
      </c>
      <c r="C196" s="20">
        <v>1</v>
      </c>
      <c r="D196" s="23">
        <v>3.65</v>
      </c>
      <c r="E196" s="75">
        <v>39.3498</v>
      </c>
      <c r="F196" s="75">
        <v>-76.6267</v>
      </c>
      <c r="G196" s="69">
        <f>IF(C196=3,IF(D196&gt;=8,5,4),IF(C196=2,IF(D196&gt;=7,3,2),1))</f>
      </c>
    </row>
    <row r="197" spans="1:7" x14ac:dyDescent="0.25">
      <c r="A197" s="72">
        <v>195</v>
      </c>
      <c r="B197" s="64" t="s">
        <v>328</v>
      </c>
      <c r="C197" s="13">
        <v>1</v>
      </c>
      <c r="D197" s="17">
        <v>5.5</v>
      </c>
      <c r="E197" s="73">
        <v>29.9351</v>
      </c>
      <c r="F197" s="73">
        <v>-90.1223</v>
      </c>
      <c r="G197" s="66">
        <f>IF(C197=3,IF(D197&gt;=8,5,4),IF(C197=2,IF(D197&gt;=7,3,2),1))</f>
      </c>
    </row>
    <row r="198" spans="1:7" x14ac:dyDescent="0.25">
      <c r="A198" s="74">
        <v>196</v>
      </c>
      <c r="B198" s="67" t="s">
        <v>329</v>
      </c>
      <c r="C198" s="20">
        <v>1</v>
      </c>
      <c r="D198" s="23">
        <v>3.2</v>
      </c>
      <c r="E198" s="75">
        <v>43.2969</v>
      </c>
      <c r="F198" s="75">
        <v>-91.8013</v>
      </c>
      <c r="G198" s="69">
        <f>IF(C198=3,IF(D198&gt;=8,5,4),IF(C198=2,IF(D198&gt;=7,3,2),1))</f>
      </c>
    </row>
    <row r="199" spans="1:7" x14ac:dyDescent="0.25">
      <c r="A199" s="72">
        <v>197</v>
      </c>
      <c r="B199" s="64" t="s">
        <v>330</v>
      </c>
      <c r="C199" s="13">
        <v>1</v>
      </c>
      <c r="D199" s="17">
        <v>3.5</v>
      </c>
      <c r="E199" s="73">
        <v>44.9382</v>
      </c>
      <c r="F199" s="73">
        <v>-93.1691</v>
      </c>
      <c r="G199" s="66">
        <f>IF(C199=3,IF(D199&gt;=8,5,4),IF(C199=2,IF(D199&gt;=7,3,2),1))</f>
      </c>
    </row>
    <row r="200" spans="1:7" x14ac:dyDescent="0.25">
      <c r="A200" s="74">
        <v>198</v>
      </c>
      <c r="B200" s="67" t="s">
        <v>331</v>
      </c>
      <c r="C200" s="20">
        <v>1</v>
      </c>
      <c r="D200" s="23">
        <v>5</v>
      </c>
      <c r="E200" s="75">
        <v>40.8893</v>
      </c>
      <c r="F200" s="75">
        <v>-73.9017</v>
      </c>
      <c r="G200" s="69">
        <f>IF(C200=3,IF(D200&gt;=8,5,4),IF(C200=2,IF(D200&gt;=7,3,2),1))</f>
      </c>
    </row>
    <row r="201" spans="1:7" x14ac:dyDescent="0.25">
      <c r="A201" s="72">
        <v>199</v>
      </c>
      <c r="B201" s="64" t="s">
        <v>332</v>
      </c>
      <c r="C201" s="13">
        <v>1</v>
      </c>
      <c r="D201" s="17">
        <v>5.5</v>
      </c>
      <c r="E201" s="73">
        <v>41.7266</v>
      </c>
      <c r="F201" s="73">
        <v>-73.9327</v>
      </c>
      <c r="G201" s="66">
        <f>IF(C201=3,IF(D201&gt;=8,5,4),IF(C201=2,IF(D201&gt;=7,3,2),1))</f>
      </c>
    </row>
    <row r="202" spans="1:7" x14ac:dyDescent="0.25">
      <c r="A202" s="74">
        <v>200</v>
      </c>
      <c r="B202" s="67" t="s">
        <v>333</v>
      </c>
      <c r="C202" s="20">
        <v>1</v>
      </c>
      <c r="D202" s="23">
        <v>4.15</v>
      </c>
      <c r="E202" s="75">
        <v>43.0387</v>
      </c>
      <c r="F202" s="75">
        <v>-87.9299</v>
      </c>
      <c r="G202" s="69">
        <f>IF(C202=3,IF(D202&gt;=8,5,4),IF(C202=2,IF(D202&gt;=7,3,2),1))</f>
      </c>
    </row>
    <row r="203" spans="1:7" x14ac:dyDescent="0.25">
      <c r="A203" s="72">
        <v>201</v>
      </c>
      <c r="B203" s="64" t="s">
        <v>334</v>
      </c>
      <c r="C203" s="13">
        <v>1</v>
      </c>
      <c r="D203" s="17">
        <v>5.8</v>
      </c>
      <c r="E203" s="73">
        <v>43.0389</v>
      </c>
      <c r="F203" s="73">
        <v>-87.9296</v>
      </c>
      <c r="G203" s="66">
        <f>IF(C203=3,IF(D203&gt;=8,5,4),IF(C203=2,IF(D203&gt;=7,3,2),1))</f>
      </c>
    </row>
    <row r="204" spans="1:7" x14ac:dyDescent="0.25">
      <c r="A204" s="74">
        <v>202</v>
      </c>
      <c r="B204" s="67" t="s">
        <v>335</v>
      </c>
      <c r="C204" s="20">
        <v>1</v>
      </c>
      <c r="D204" s="23">
        <v>6</v>
      </c>
      <c r="E204" s="75">
        <v>38.4238</v>
      </c>
      <c r="F204" s="75">
        <v>-82.4258</v>
      </c>
      <c r="G204" s="69">
        <f>IF(C204=3,IF(D204&gt;=8,5,4),IF(C204=2,IF(D204&gt;=7,3,2),1))</f>
      </c>
    </row>
    <row r="205" spans="1:7" x14ac:dyDescent="0.25">
      <c r="A205" s="72">
        <v>203</v>
      </c>
      <c r="B205" s="64" t="s">
        <v>336</v>
      </c>
      <c r="C205" s="13">
        <v>1</v>
      </c>
      <c r="D205" s="17">
        <v>4.95</v>
      </c>
      <c r="E205" s="73">
        <v>42.3601</v>
      </c>
      <c r="F205" s="73">
        <v>-71.0942</v>
      </c>
      <c r="G205" s="66">
        <f>IF(C205=3,IF(D205&gt;=8,5,4),IF(C205=2,IF(D205&gt;=7,3,2),1))</f>
      </c>
    </row>
    <row r="206" spans="1:7" x14ac:dyDescent="0.25">
      <c r="A206" s="74">
        <v>204</v>
      </c>
      <c r="B206" s="67" t="s">
        <v>337</v>
      </c>
      <c r="C206" s="20">
        <v>1</v>
      </c>
      <c r="D206" s="23">
        <v>5.5</v>
      </c>
      <c r="E206" s="75">
        <v>30.2069</v>
      </c>
      <c r="F206" s="75">
        <v>-93.2191</v>
      </c>
      <c r="G206" s="69">
        <f>IF(C206=3,IF(D206&gt;=8,5,4),IF(C206=2,IF(D206&gt;=7,3,2),1))</f>
      </c>
    </row>
    <row r="207" spans="1:7" x14ac:dyDescent="0.25">
      <c r="A207" s="72">
        <v>205</v>
      </c>
      <c r="B207" s="64" t="s">
        <v>338</v>
      </c>
      <c r="C207" s="13">
        <v>1</v>
      </c>
      <c r="D207" s="17">
        <v>4.5</v>
      </c>
      <c r="E207" s="73">
        <v>32.8293</v>
      </c>
      <c r="F207" s="73">
        <v>-83.6502</v>
      </c>
      <c r="G207" s="66">
        <f>IF(C207=3,IF(D207&gt;=8,5,4),IF(C207=2,IF(D207&gt;=7,3,2),1))</f>
      </c>
    </row>
    <row r="208" spans="1:7" x14ac:dyDescent="0.25">
      <c r="A208" s="74">
        <v>206</v>
      </c>
      <c r="B208" s="67" t="s">
        <v>339</v>
      </c>
      <c r="C208" s="20">
        <v>2</v>
      </c>
      <c r="D208" s="23">
        <v>7</v>
      </c>
      <c r="E208" s="75">
        <v>39.5115</v>
      </c>
      <c r="F208" s="75">
        <v>-84.7316</v>
      </c>
      <c r="G208" s="69">
        <f>IF(C208=3,IF(D208&gt;=8,5,4),IF(C208=2,IF(D208&gt;=7,3,2),1))</f>
      </c>
    </row>
    <row r="209" spans="1:7" x14ac:dyDescent="0.25">
      <c r="A209" s="72">
        <v>207</v>
      </c>
      <c r="B209" s="64" t="s">
        <v>340</v>
      </c>
      <c r="C209" s="13">
        <v>3</v>
      </c>
      <c r="D209" s="17">
        <v>8.48</v>
      </c>
      <c r="E209" s="73">
        <v>42.7018</v>
      </c>
      <c r="F209" s="73">
        <v>-84.4822</v>
      </c>
      <c r="G209" s="66">
        <f>IF(C209=3,IF(D209&gt;=8,5,4),IF(C209=2,IF(D209&gt;=7,3,2),1))</f>
      </c>
    </row>
    <row r="210" spans="1:7" x14ac:dyDescent="0.25">
      <c r="A210" s="74">
        <v>208</v>
      </c>
      <c r="B210" s="67" t="s">
        <v>341</v>
      </c>
      <c r="C210" s="20">
        <v>1</v>
      </c>
      <c r="D210" s="23">
        <v>5</v>
      </c>
      <c r="E210" s="75">
        <v>47.1195</v>
      </c>
      <c r="F210" s="75">
        <v>-88.5491</v>
      </c>
      <c r="G210" s="69">
        <f>IF(C210=3,IF(D210&gt;=8,5,4),IF(C210=2,IF(D210&gt;=7,3,2),1))</f>
      </c>
    </row>
    <row r="211" spans="1:7" x14ac:dyDescent="0.25">
      <c r="A211" s="72">
        <v>209</v>
      </c>
      <c r="B211" s="64" t="s">
        <v>342</v>
      </c>
      <c r="C211" s="13">
        <v>2</v>
      </c>
      <c r="D211" s="17">
        <v>6</v>
      </c>
      <c r="E211" s="73">
        <v>35.8483</v>
      </c>
      <c r="F211" s="73">
        <v>-86.3647</v>
      </c>
      <c r="G211" s="66">
        <f>IF(C211=3,IF(D211&gt;=8,5,4),IF(C211=2,IF(D211&gt;=7,3,2),1))</f>
      </c>
    </row>
    <row r="212" spans="1:7" x14ac:dyDescent="0.25">
      <c r="A212" s="74">
        <v>210</v>
      </c>
      <c r="B212" s="67" t="s">
        <v>343</v>
      </c>
      <c r="C212" s="20">
        <v>1</v>
      </c>
      <c r="D212" s="23">
        <v>3.9</v>
      </c>
      <c r="E212" s="75">
        <v>44.0088</v>
      </c>
      <c r="F212" s="75">
        <v>-73.1772</v>
      </c>
      <c r="G212" s="69">
        <f>IF(C212=3,IF(D212&gt;=8,5,4),IF(C212=2,IF(D212&gt;=7,3,2),1))</f>
      </c>
    </row>
    <row r="213" spans="1:7" x14ac:dyDescent="0.25">
      <c r="A213" s="72">
        <v>211</v>
      </c>
      <c r="B213" s="64" t="s">
        <v>344</v>
      </c>
      <c r="C213" s="13">
        <v>1</v>
      </c>
      <c r="D213" s="17">
        <v>5.5</v>
      </c>
      <c r="E213" s="73">
        <v>39.9973</v>
      </c>
      <c r="F213" s="73">
        <v>-76.353</v>
      </c>
      <c r="G213" s="66">
        <f>IF(C213=3,IF(D213&gt;=8,5,4),IF(C213=2,IF(D213&gt;=7,3,2),1))</f>
      </c>
    </row>
    <row r="214" spans="1:7" x14ac:dyDescent="0.25">
      <c r="A214" s="74">
        <v>212</v>
      </c>
      <c r="B214" s="67" t="s">
        <v>345</v>
      </c>
      <c r="C214" s="20">
        <v>1</v>
      </c>
      <c r="D214" s="23">
        <v>3.63</v>
      </c>
      <c r="E214" s="75">
        <v>32.321</v>
      </c>
      <c r="F214" s="75">
        <v>-90.1867</v>
      </c>
      <c r="G214" s="69">
        <f>IF(C214=3,IF(D214&gt;=8,5,4),IF(C214=2,IF(D214&gt;=7,3,2),1))</f>
      </c>
    </row>
    <row r="215" spans="1:7" x14ac:dyDescent="0.25">
      <c r="A215" s="72">
        <v>213</v>
      </c>
      <c r="B215" s="64" t="s">
        <v>346</v>
      </c>
      <c r="C215" s="13">
        <v>1</v>
      </c>
      <c r="D215" s="17">
        <v>6</v>
      </c>
      <c r="E215" s="73">
        <v>44.1455</v>
      </c>
      <c r="F215" s="73">
        <v>-93.9994</v>
      </c>
      <c r="G215" s="66">
        <f>IF(C215=3,IF(D215&gt;=8,5,4),IF(C215=2,IF(D215&gt;=7,3,2),1))</f>
      </c>
    </row>
    <row r="216" spans="1:7" x14ac:dyDescent="0.25">
      <c r="A216" s="74">
        <v>214</v>
      </c>
      <c r="B216" s="67" t="s">
        <v>347</v>
      </c>
      <c r="C216" s="20">
        <v>2</v>
      </c>
      <c r="D216" s="23">
        <v>6.6</v>
      </c>
      <c r="E216" s="75">
        <v>33.4552</v>
      </c>
      <c r="F216" s="75">
        <v>-88.7898</v>
      </c>
      <c r="G216" s="69">
        <f>IF(C216=3,IF(D216&gt;=8,5,4),IF(C216=2,IF(D216&gt;=7,3,2),1))</f>
      </c>
    </row>
    <row r="217" spans="1:7" x14ac:dyDescent="0.25">
      <c r="A217" s="72">
        <v>215</v>
      </c>
      <c r="B217" s="64" t="s">
        <v>348</v>
      </c>
      <c r="C217" s="13">
        <v>1</v>
      </c>
      <c r="D217" s="17">
        <v>5</v>
      </c>
      <c r="E217" s="73">
        <v>33.5073</v>
      </c>
      <c r="F217" s="73">
        <v>-90.3079</v>
      </c>
      <c r="G217" s="66">
        <f>IF(C217=3,IF(D217&gt;=8,5,4),IF(C217=2,IF(D217&gt;=7,3,2),1))</f>
      </c>
    </row>
    <row r="218" spans="1:7" x14ac:dyDescent="0.25">
      <c r="A218" s="74">
        <v>216</v>
      </c>
      <c r="B218" s="67" t="s">
        <v>349</v>
      </c>
      <c r="C218" s="20">
        <v>1</v>
      </c>
      <c r="D218" s="23">
        <v>5.5</v>
      </c>
      <c r="E218" s="75">
        <v>37.2053</v>
      </c>
      <c r="F218" s="75">
        <v>-93.2825</v>
      </c>
      <c r="G218" s="69">
        <f>IF(C218=3,IF(D218&gt;=8,5,4),IF(C218=2,IF(D218&gt;=7,3,2),1))</f>
      </c>
    </row>
    <row r="219" spans="1:7" x14ac:dyDescent="0.25">
      <c r="A219" s="72">
        <v>217</v>
      </c>
      <c r="B219" s="64" t="s">
        <v>350</v>
      </c>
      <c r="C219" s="13">
        <v>1</v>
      </c>
      <c r="D219" s="17">
        <v>5</v>
      </c>
      <c r="E219" s="73">
        <v>37.9549</v>
      </c>
      <c r="F219" s="73">
        <v>-91.7738</v>
      </c>
      <c r="G219" s="66">
        <f>IF(C219=3,IF(D219&gt;=8,5,4),IF(C219=2,IF(D219&gt;=7,3,2),1))</f>
      </c>
    </row>
    <row r="220" spans="1:7" x14ac:dyDescent="0.25">
      <c r="A220" s="74">
        <v>218</v>
      </c>
      <c r="B220" s="67" t="s">
        <v>351</v>
      </c>
      <c r="C220" s="20">
        <v>1</v>
      </c>
      <c r="D220" s="23">
        <v>5.5</v>
      </c>
      <c r="E220" s="75">
        <v>40.2774</v>
      </c>
      <c r="F220" s="75">
        <v>-74.0047</v>
      </c>
      <c r="G220" s="69">
        <f>IF(C220=3,IF(D220&gt;=8,5,4),IF(C220=2,IF(D220&gt;=7,3,2),1))</f>
      </c>
    </row>
    <row r="221" spans="1:7" x14ac:dyDescent="0.25">
      <c r="A221" s="72">
        <v>219</v>
      </c>
      <c r="B221" s="64" t="s">
        <v>352</v>
      </c>
      <c r="C221" s="13">
        <v>2</v>
      </c>
      <c r="D221" s="17">
        <v>5.25</v>
      </c>
      <c r="E221" s="73">
        <v>45.6673</v>
      </c>
      <c r="F221" s="73">
        <v>-111.0478</v>
      </c>
      <c r="G221" s="66">
        <f>IF(C221=3,IF(D221&gt;=8,5,4),IF(C221=2,IF(D221&gt;=7,3,2),1))</f>
      </c>
    </row>
    <row r="222" spans="1:7" x14ac:dyDescent="0.25">
      <c r="A222" s="74">
        <v>220</v>
      </c>
      <c r="B222" s="67" t="s">
        <v>353</v>
      </c>
      <c r="C222" s="20">
        <v>1</v>
      </c>
      <c r="D222" s="23">
        <v>5.5</v>
      </c>
      <c r="E222" s="75">
        <v>40.8629</v>
      </c>
      <c r="F222" s="75">
        <v>-74.1993</v>
      </c>
      <c r="G222" s="69">
        <f>IF(C222=3,IF(D222&gt;=8,5,4),IF(C222=2,IF(D222&gt;=7,3,2),1))</f>
      </c>
    </row>
    <row r="223" spans="1:7" x14ac:dyDescent="0.25">
      <c r="A223" s="72">
        <v>221</v>
      </c>
      <c r="B223" s="64" t="s">
        <v>354</v>
      </c>
      <c r="C223" s="13">
        <v>1</v>
      </c>
      <c r="D223" s="17">
        <v>5.5</v>
      </c>
      <c r="E223" s="73">
        <v>38.1867</v>
      </c>
      <c r="F223" s="73">
        <v>-83.4338</v>
      </c>
      <c r="G223" s="66">
        <f>IF(C223=3,IF(D223&gt;=8,5,4),IF(C223=2,IF(D223&gt;=7,3,2),1))</f>
      </c>
    </row>
    <row r="224" spans="1:7" x14ac:dyDescent="0.25">
      <c r="A224" s="74">
        <v>222</v>
      </c>
      <c r="B224" s="67" t="s">
        <v>355</v>
      </c>
      <c r="C224" s="20">
        <v>1</v>
      </c>
      <c r="D224" s="23">
        <v>5.5</v>
      </c>
      <c r="E224" s="75">
        <v>33.7475</v>
      </c>
      <c r="F224" s="75">
        <v>-84.4132</v>
      </c>
      <c r="G224" s="69">
        <f>IF(C224=3,IF(D224&gt;=8,5,4),IF(C224=2,IF(D224&gt;=7,3,2),1))</f>
      </c>
    </row>
    <row r="225" spans="1:7" x14ac:dyDescent="0.25">
      <c r="A225" s="72">
        <v>223</v>
      </c>
      <c r="B225" s="64" t="s">
        <v>356</v>
      </c>
      <c r="C225" s="13">
        <v>1</v>
      </c>
      <c r="D225" s="17">
        <v>5.5</v>
      </c>
      <c r="E225" s="73">
        <v>39.3438</v>
      </c>
      <c r="F225" s="73">
        <v>-76.5836</v>
      </c>
      <c r="G225" s="66">
        <f>IF(C225=3,IF(D225&gt;=8,5,4),IF(C225=2,IF(D225&gt;=7,3,2),1))</f>
      </c>
    </row>
    <row r="226" spans="1:7" x14ac:dyDescent="0.25">
      <c r="A226" s="74">
        <v>224</v>
      </c>
      <c r="B226" s="67" t="s">
        <v>357</v>
      </c>
      <c r="C226" s="20">
        <v>1</v>
      </c>
      <c r="D226" s="23">
        <v>3.25</v>
      </c>
      <c r="E226" s="75">
        <v>42.2581</v>
      </c>
      <c r="F226" s="75">
        <v>-72.5757</v>
      </c>
      <c r="G226" s="69">
        <f>IF(C226=3,IF(D226&gt;=8,5,4),IF(C226=2,IF(D226&gt;=7,3,2),1))</f>
      </c>
    </row>
    <row r="227" spans="1:7" x14ac:dyDescent="0.25">
      <c r="A227" s="72">
        <v>225</v>
      </c>
      <c r="B227" s="64" t="s">
        <v>358</v>
      </c>
      <c r="C227" s="13">
        <v>1</v>
      </c>
      <c r="D227" s="17">
        <v>2.75</v>
      </c>
      <c r="E227" s="73">
        <v>40.5952</v>
      </c>
      <c r="F227" s="73">
        <v>-75.5109</v>
      </c>
      <c r="G227" s="66">
        <f>IF(C227=3,IF(D227&gt;=8,5,4),IF(C227=2,IF(D227&gt;=7,3,2),1))</f>
      </c>
    </row>
    <row r="228" spans="1:7" x14ac:dyDescent="0.25">
      <c r="A228" s="74">
        <v>226</v>
      </c>
      <c r="B228" s="67" t="s">
        <v>359</v>
      </c>
      <c r="C228" s="20">
        <v>1</v>
      </c>
      <c r="D228" s="23">
        <v>5.5</v>
      </c>
      <c r="E228" s="75">
        <v>36.6167</v>
      </c>
      <c r="F228" s="75">
        <v>-88.3199</v>
      </c>
      <c r="G228" s="69">
        <f>IF(C228=3,IF(D228&gt;=8,5,4),IF(C228=2,IF(D228&gt;=7,3,2),1))</f>
      </c>
    </row>
    <row r="229" spans="1:7" x14ac:dyDescent="0.25">
      <c r="A229" s="72">
        <v>227</v>
      </c>
      <c r="B229" s="64" t="s">
        <v>360</v>
      </c>
      <c r="C229" s="13">
        <v>1</v>
      </c>
      <c r="D229" s="17">
        <v>4.5</v>
      </c>
      <c r="E229" s="73">
        <v>40.742</v>
      </c>
      <c r="F229" s="73">
        <v>-74.1789</v>
      </c>
      <c r="G229" s="66">
        <f>IF(C229=3,IF(D229&gt;=8,5,4),IF(C229=2,IF(D229&gt;=7,3,2),1))</f>
      </c>
    </row>
    <row r="230" spans="1:7" x14ac:dyDescent="0.25">
      <c r="A230" s="74">
        <v>228</v>
      </c>
      <c r="B230" s="67" t="s">
        <v>361</v>
      </c>
      <c r="C230" s="20">
        <v>1</v>
      </c>
      <c r="D230" s="23">
        <v>5.5</v>
      </c>
      <c r="E230" s="75">
        <v>32.2807</v>
      </c>
      <c r="F230" s="75">
        <v>-106.7478</v>
      </c>
      <c r="G230" s="69">
        <f>IF(C230=3,IF(D230&gt;=8,5,4),IF(C230=2,IF(D230&gt;=7,3,2),1))</f>
      </c>
    </row>
    <row r="231" spans="1:7" x14ac:dyDescent="0.25">
      <c r="A231" s="72">
        <v>229</v>
      </c>
      <c r="B231" s="64" t="s">
        <v>362</v>
      </c>
      <c r="C231" s="13">
        <v>1</v>
      </c>
      <c r="D231" s="17">
        <v>4.6</v>
      </c>
      <c r="E231" s="73">
        <v>40.7295</v>
      </c>
      <c r="F231" s="73">
        <v>-73.9965</v>
      </c>
      <c r="G231" s="66">
        <f>IF(C231=3,IF(D231&gt;=8,5,4),IF(C231=2,IF(D231&gt;=7,3,2),1))</f>
      </c>
    </row>
    <row r="232" spans="1:7" x14ac:dyDescent="0.25">
      <c r="A232" s="74">
        <v>230</v>
      </c>
      <c r="B232" s="67" t="s">
        <v>363</v>
      </c>
      <c r="C232" s="20">
        <v>1</v>
      </c>
      <c r="D232" s="23">
        <v>5</v>
      </c>
      <c r="E232" s="75">
        <v>43.138</v>
      </c>
      <c r="F232" s="75">
        <v>-79.0344</v>
      </c>
      <c r="G232" s="69">
        <f>IF(C232=3,IF(D232&gt;=8,5,4),IF(C232=2,IF(D232&gt;=7,3,2),1))</f>
      </c>
    </row>
    <row r="233" spans="1:7" x14ac:dyDescent="0.25">
      <c r="A233" s="72">
        <v>231</v>
      </c>
      <c r="B233" s="64" t="s">
        <v>364</v>
      </c>
      <c r="C233" s="13">
        <v>1</v>
      </c>
      <c r="D233" s="17">
        <v>5.5</v>
      </c>
      <c r="E233" s="73">
        <v>29.7948</v>
      </c>
      <c r="F233" s="73">
        <v>-90.8223</v>
      </c>
      <c r="G233" s="66">
        <f>IF(C233=3,IF(D233&gt;=8,5,4),IF(C233=2,IF(D233&gt;=7,3,2),1))</f>
      </c>
    </row>
    <row r="234" spans="1:7" x14ac:dyDescent="0.25">
      <c r="A234" s="74">
        <v>232</v>
      </c>
      <c r="B234" s="67" t="s">
        <v>365</v>
      </c>
      <c r="C234" s="20">
        <v>1</v>
      </c>
      <c r="D234" s="23">
        <v>5.5</v>
      </c>
      <c r="E234" s="75">
        <v>36.8477</v>
      </c>
      <c r="F234" s="75">
        <v>-76.2691</v>
      </c>
      <c r="G234" s="69">
        <f>IF(C234=3,IF(D234&gt;=8,5,4),IF(C234=2,IF(D234&gt;=7,3,2),1))</f>
      </c>
    </row>
    <row r="235" spans="1:7" x14ac:dyDescent="0.25">
      <c r="A235" s="72">
        <v>233</v>
      </c>
      <c r="B235" s="64" t="s">
        <v>366</v>
      </c>
      <c r="C235" s="13">
        <v>1</v>
      </c>
      <c r="D235" s="17">
        <v>6</v>
      </c>
      <c r="E235" s="73">
        <v>36.0755</v>
      </c>
      <c r="F235" s="73">
        <v>-79.7724</v>
      </c>
      <c r="G235" s="66">
        <f>IF(C235=3,IF(D235&gt;=8,5,4),IF(C235=2,IF(D235&gt;=7,3,2),1))</f>
      </c>
    </row>
    <row r="236" spans="1:7" x14ac:dyDescent="0.25">
      <c r="A236" s="74">
        <v>234</v>
      </c>
      <c r="B236" s="67" t="s">
        <v>367</v>
      </c>
      <c r="C236" s="20">
        <v>1</v>
      </c>
      <c r="D236" s="23">
        <v>5.5</v>
      </c>
      <c r="E236" s="75">
        <v>35.9737</v>
      </c>
      <c r="F236" s="75">
        <v>-78.8978</v>
      </c>
      <c r="G236" s="69">
        <f>IF(C236=3,IF(D236&gt;=8,5,4),IF(C236=2,IF(D236&gt;=7,3,2),1))</f>
      </c>
    </row>
    <row r="237" spans="1:7" x14ac:dyDescent="0.25">
      <c r="A237" s="72">
        <v>235</v>
      </c>
      <c r="B237" s="64" t="s">
        <v>368</v>
      </c>
      <c r="C237" s="13">
        <v>2</v>
      </c>
      <c r="D237" s="17">
        <v>6.4</v>
      </c>
      <c r="E237" s="73">
        <v>35.7847</v>
      </c>
      <c r="F237" s="73">
        <v>-78.6821</v>
      </c>
      <c r="G237" s="66">
        <f>IF(C237=3,IF(D237&gt;=8,5,4),IF(C237=2,IF(D237&gt;=7,3,2),1))</f>
      </c>
    </row>
    <row r="238" spans="1:7" x14ac:dyDescent="0.25">
      <c r="A238" s="74">
        <v>236</v>
      </c>
      <c r="B238" s="67" t="s">
        <v>369</v>
      </c>
      <c r="C238" s="20">
        <v>2</v>
      </c>
      <c r="D238" s="23">
        <v>6.5</v>
      </c>
      <c r="E238" s="75">
        <v>46.8965</v>
      </c>
      <c r="F238" s="75">
        <v>-96.8018</v>
      </c>
      <c r="G238" s="69">
        <f>IF(C238=3,IF(D238&gt;=8,5,4),IF(C238=2,IF(D238&gt;=7,3,2),1))</f>
      </c>
    </row>
    <row r="239" spans="1:7" x14ac:dyDescent="0.25">
      <c r="A239" s="72">
        <v>237</v>
      </c>
      <c r="B239" s="64" t="s">
        <v>370</v>
      </c>
      <c r="C239" s="13">
        <v>1</v>
      </c>
      <c r="D239" s="17">
        <v>4.45</v>
      </c>
      <c r="E239" s="73">
        <v>42.3398</v>
      </c>
      <c r="F239" s="73">
        <v>-71.0892</v>
      </c>
      <c r="G239" s="66">
        <f>IF(C239=3,IF(D239&gt;=8,5,4),IF(C239=2,IF(D239&gt;=7,3,2),1))</f>
      </c>
    </row>
    <row r="240" spans="1:7" x14ac:dyDescent="0.25">
      <c r="A240" s="74">
        <v>238</v>
      </c>
      <c r="B240" s="67" t="s">
        <v>371</v>
      </c>
      <c r="C240" s="20">
        <v>2</v>
      </c>
      <c r="D240" s="23">
        <v>5.5</v>
      </c>
      <c r="E240" s="75">
        <v>42.3398</v>
      </c>
      <c r="F240" s="75">
        <v>-71.0892</v>
      </c>
      <c r="G240" s="69">
        <f>IF(C240=3,IF(D240&gt;=8,5,4),IF(C240=2,IF(D240&gt;=7,3,2),1))</f>
      </c>
    </row>
    <row r="241" spans="1:7" x14ac:dyDescent="0.25">
      <c r="A241" s="72">
        <v>239</v>
      </c>
      <c r="B241" s="64" t="s">
        <v>372</v>
      </c>
      <c r="C241" s="13">
        <v>2</v>
      </c>
      <c r="D241" s="17">
        <v>5.05</v>
      </c>
      <c r="E241" s="73">
        <v>35.189</v>
      </c>
      <c r="F241" s="73">
        <v>-111.6547</v>
      </c>
      <c r="G241" s="66">
        <f>IF(C241=3,IF(D241&gt;=8,5,4),IF(C241=2,IF(D241&gt;=7,3,2),1))</f>
      </c>
    </row>
    <row r="242" spans="1:7" x14ac:dyDescent="0.25">
      <c r="A242" s="74">
        <v>240</v>
      </c>
      <c r="B242" s="67" t="s">
        <v>373</v>
      </c>
      <c r="C242" s="20">
        <v>2</v>
      </c>
      <c r="D242" s="23">
        <v>6.5</v>
      </c>
      <c r="E242" s="75">
        <v>41.9344</v>
      </c>
      <c r="F242" s="75">
        <v>-88.7719</v>
      </c>
      <c r="G242" s="69">
        <f>IF(C242=3,IF(D242&gt;=8,5,4),IF(C242=2,IF(D242&gt;=7,3,2),1))</f>
      </c>
    </row>
    <row r="243" spans="1:7" x14ac:dyDescent="0.25">
      <c r="A243" s="72">
        <v>241</v>
      </c>
      <c r="B243" s="64" t="s">
        <v>374</v>
      </c>
      <c r="C243" s="13">
        <v>1</v>
      </c>
      <c r="D243" s="17">
        <v>5.5</v>
      </c>
      <c r="E243" s="73">
        <v>39.0309</v>
      </c>
      <c r="F243" s="73">
        <v>-84.4631</v>
      </c>
      <c r="G243" s="66">
        <f>IF(C243=3,IF(D243&gt;=8,5,4),IF(C243=2,IF(D243&gt;=7,3,2),1))</f>
      </c>
    </row>
    <row r="244" spans="1:7" x14ac:dyDescent="0.25">
      <c r="A244" s="74">
        <v>242</v>
      </c>
      <c r="B244" s="67" t="s">
        <v>375</v>
      </c>
      <c r="C244" s="20">
        <v>1</v>
      </c>
      <c r="D244" s="23">
        <v>5.5</v>
      </c>
      <c r="E244" s="75">
        <v>46.5604</v>
      </c>
      <c r="F244" s="75">
        <v>-87.4066</v>
      </c>
      <c r="G244" s="69">
        <f>IF(C244=3,IF(D244&gt;=8,5,4),IF(C244=2,IF(D244&gt;=7,3,2),1))</f>
      </c>
    </row>
    <row r="245" spans="1:7" x14ac:dyDescent="0.25">
      <c r="A245" s="72">
        <v>243</v>
      </c>
      <c r="B245" s="64" t="s">
        <v>376</v>
      </c>
      <c r="C245" s="13">
        <v>1</v>
      </c>
      <c r="D245" s="17">
        <v>5.5</v>
      </c>
      <c r="E245" s="73">
        <v>31.7613</v>
      </c>
      <c r="F245" s="73">
        <v>-93.0969</v>
      </c>
      <c r="G245" s="66">
        <f>IF(C245=3,IF(D245&gt;=8,5,4),IF(C245=2,IF(D245&gt;=7,3,2),1))</f>
      </c>
    </row>
    <row r="246" spans="1:7" x14ac:dyDescent="0.25">
      <c r="A246" s="74">
        <v>244</v>
      </c>
      <c r="B246" s="67" t="s">
        <v>377</v>
      </c>
      <c r="C246" s="20">
        <v>1</v>
      </c>
      <c r="D246" s="23">
        <v>4.73</v>
      </c>
      <c r="E246" s="75">
        <v>42.0565</v>
      </c>
      <c r="F246" s="75">
        <v>-87.6753</v>
      </c>
      <c r="G246" s="69">
        <f>IF(C246=3,IF(D246&gt;=8,5,4),IF(C246=2,IF(D246&gt;=7,3,2),1))</f>
      </c>
    </row>
    <row r="247" spans="1:7" x14ac:dyDescent="0.25">
      <c r="A247" s="72">
        <v>245</v>
      </c>
      <c r="B247" s="64" t="s">
        <v>378</v>
      </c>
      <c r="C247" s="13">
        <v>1</v>
      </c>
      <c r="D247" s="17">
        <v>3.53</v>
      </c>
      <c r="E247" s="73">
        <v>41.2939</v>
      </c>
      <c r="F247" s="73">
        <v>-82.2173</v>
      </c>
      <c r="G247" s="66">
        <f>IF(C247=3,IF(D247&gt;=8,5,4),IF(C247=2,IF(D247&gt;=7,3,2),1))</f>
      </c>
    </row>
    <row r="248" spans="1:7" x14ac:dyDescent="0.25">
      <c r="A248" s="74">
        <v>246</v>
      </c>
      <c r="B248" s="67" t="s">
        <v>379</v>
      </c>
      <c r="C248" s="20">
        <v>1</v>
      </c>
      <c r="D248" s="23">
        <v>3.58</v>
      </c>
      <c r="E248" s="75">
        <v>34.1275</v>
      </c>
      <c r="F248" s="75">
        <v>-118.2114</v>
      </c>
      <c r="G248" s="69">
        <f>IF(C248=3,IF(D248&gt;=8,5,4),IF(C248=2,IF(D248&gt;=7,3,2),1))</f>
      </c>
    </row>
    <row r="249" spans="1:7" x14ac:dyDescent="0.25">
      <c r="A249" s="72">
        <v>247</v>
      </c>
      <c r="B249" s="64" t="s">
        <v>380</v>
      </c>
      <c r="C249" s="13">
        <v>3</v>
      </c>
      <c r="D249" s="17">
        <v>8.08</v>
      </c>
      <c r="E249" s="73">
        <v>39.9985</v>
      </c>
      <c r="F249" s="73">
        <v>-83.0186</v>
      </c>
      <c r="G249" s="66">
        <f>IF(C249=3,IF(D249&gt;=8,5,4),IF(C249=2,IF(D249&gt;=7,3,2),1))</f>
      </c>
    </row>
    <row r="250" spans="1:7" x14ac:dyDescent="0.25">
      <c r="A250" s="74">
        <v>248</v>
      </c>
      <c r="B250" s="67" t="s">
        <v>381</v>
      </c>
      <c r="C250" s="20">
        <v>2</v>
      </c>
      <c r="D250" s="23">
        <v>5.98</v>
      </c>
      <c r="E250" s="75">
        <v>39.3245</v>
      </c>
      <c r="F250" s="75">
        <v>-82.1013</v>
      </c>
      <c r="G250" s="69">
        <f>IF(C250=3,IF(D250&gt;=8,5,4),IF(C250=2,IF(D250&gt;=7,3,2),1))</f>
      </c>
    </row>
    <row r="251" spans="1:7" x14ac:dyDescent="0.25">
      <c r="A251" s="72">
        <v>249</v>
      </c>
      <c r="B251" s="64" t="s">
        <v>382</v>
      </c>
      <c r="C251" s="13">
        <v>2</v>
      </c>
      <c r="D251" s="17">
        <v>6.1</v>
      </c>
      <c r="E251" s="73">
        <v>36.1217</v>
      </c>
      <c r="F251" s="73">
        <v>-97.07</v>
      </c>
      <c r="G251" s="66">
        <f>IF(C251=3,IF(D251&gt;=8,5,4),IF(C251=2,IF(D251&gt;=7,3,2),1))</f>
      </c>
    </row>
    <row r="252" spans="1:7" x14ac:dyDescent="0.25">
      <c r="A252" s="74">
        <v>250</v>
      </c>
      <c r="B252" s="67" t="s">
        <v>383</v>
      </c>
      <c r="C252" s="20">
        <v>2</v>
      </c>
      <c r="D252" s="23">
        <v>6</v>
      </c>
      <c r="E252" s="75">
        <v>36.886</v>
      </c>
      <c r="F252" s="75">
        <v>-76.3055</v>
      </c>
      <c r="G252" s="69">
        <f>IF(C252=3,IF(D252&gt;=8,5,4),IF(C252=2,IF(D252&gt;=7,3,2),1))</f>
      </c>
    </row>
    <row r="253" spans="1:7" x14ac:dyDescent="0.25">
      <c r="A253" s="72">
        <v>251</v>
      </c>
      <c r="B253" s="64" t="s">
        <v>384</v>
      </c>
      <c r="C253" s="13">
        <v>2</v>
      </c>
      <c r="D253" s="17">
        <v>6.58</v>
      </c>
      <c r="E253" s="73">
        <v>44.5646</v>
      </c>
      <c r="F253" s="73">
        <v>-123.282</v>
      </c>
      <c r="G253" s="66">
        <f>IF(C253=3,IF(D253&gt;=8,5,4),IF(C253=2,IF(D253&gt;=7,3,2),1))</f>
      </c>
    </row>
    <row r="254" spans="1:7" x14ac:dyDescent="0.25">
      <c r="A254" s="74">
        <v>252</v>
      </c>
      <c r="B254" s="67" t="s">
        <v>385</v>
      </c>
      <c r="C254" s="20">
        <v>1</v>
      </c>
      <c r="D254" s="23">
        <v>4.5</v>
      </c>
      <c r="E254" s="75">
        <v>41.1792</v>
      </c>
      <c r="F254" s="75">
        <v>-73.8234</v>
      </c>
      <c r="G254" s="69">
        <f>IF(C254=3,IF(D254&gt;=8,5,4),IF(C254=2,IF(D254&gt;=7,3,2),1))</f>
      </c>
    </row>
    <row r="255" spans="1:7" x14ac:dyDescent="0.25">
      <c r="A255" s="72">
        <v>253</v>
      </c>
      <c r="B255" s="64" t="s">
        <v>386</v>
      </c>
      <c r="C255" s="13">
        <v>3</v>
      </c>
      <c r="D255" s="17">
        <v>8.58</v>
      </c>
      <c r="E255" s="73">
        <v>40.7982</v>
      </c>
      <c r="F255" s="73">
        <v>-77.8599</v>
      </c>
      <c r="G255" s="66">
        <f>IF(C255=3,IF(D255&gt;=8,5,4),IF(C255=2,IF(D255&gt;=7,3,2),1))</f>
      </c>
    </row>
    <row r="256" spans="1:7" x14ac:dyDescent="0.25">
      <c r="A256" s="74">
        <v>254</v>
      </c>
      <c r="B256" s="67" t="s">
        <v>387</v>
      </c>
      <c r="C256" s="20">
        <v>1</v>
      </c>
      <c r="D256" s="23">
        <v>4.78</v>
      </c>
      <c r="E256" s="75">
        <v>34.0369</v>
      </c>
      <c r="F256" s="75">
        <v>-118.7091</v>
      </c>
      <c r="G256" s="69">
        <f>IF(C256=3,IF(D256&gt;=8,5,4),IF(C256=2,IF(D256&gt;=7,3,2),1))</f>
      </c>
    </row>
    <row r="257" spans="1:7" x14ac:dyDescent="0.25">
      <c r="A257" s="72">
        <v>255</v>
      </c>
      <c r="B257" s="64" t="s">
        <v>388</v>
      </c>
      <c r="C257" s="13">
        <v>1</v>
      </c>
      <c r="D257" s="17">
        <v>3.08</v>
      </c>
      <c r="E257" s="73">
        <v>34.1034</v>
      </c>
      <c r="F257" s="73">
        <v>-117.7086</v>
      </c>
      <c r="G257" s="66">
        <f>IF(C257=3,IF(D257&gt;=8,5,4),IF(C257=2,IF(D257&gt;=7,3,2),1))</f>
      </c>
    </row>
    <row r="258" spans="1:7" x14ac:dyDescent="0.25">
      <c r="A258" s="74">
        <v>256</v>
      </c>
      <c r="B258" s="67" t="s">
        <v>389</v>
      </c>
      <c r="C258" s="20">
        <v>1</v>
      </c>
      <c r="D258" s="23">
        <v>5.5</v>
      </c>
      <c r="E258" s="75">
        <v>43.7568</v>
      </c>
      <c r="F258" s="75">
        <v>-71.6878</v>
      </c>
      <c r="G258" s="69">
        <f>IF(C258=3,IF(D258&gt;=8,5,4),IF(C258=2,IF(D258&gt;=7,3,2),1))</f>
      </c>
    </row>
    <row r="259" spans="1:7" x14ac:dyDescent="0.25">
      <c r="A259" s="72">
        <v>257</v>
      </c>
      <c r="B259" s="64" t="s">
        <v>390</v>
      </c>
      <c r="C259" s="13">
        <v>1</v>
      </c>
      <c r="D259" s="17">
        <v>3.98</v>
      </c>
      <c r="E259" s="73">
        <v>34.0977</v>
      </c>
      <c r="F259" s="73">
        <v>-117.7115</v>
      </c>
      <c r="G259" s="66">
        <f>IF(C259=3,IF(D259&gt;=8,5,4),IF(C259=2,IF(D259&gt;=7,3,2),1))</f>
      </c>
    </row>
    <row r="260" spans="1:7" x14ac:dyDescent="0.25">
      <c r="A260" s="74">
        <v>258</v>
      </c>
      <c r="B260" s="67" t="s">
        <v>391</v>
      </c>
      <c r="C260" s="20">
        <v>1</v>
      </c>
      <c r="D260" s="23">
        <v>5</v>
      </c>
      <c r="E260" s="75">
        <v>45.5115</v>
      </c>
      <c r="F260" s="75">
        <v>-122.686</v>
      </c>
      <c r="G260" s="69">
        <f>IF(C260=3,IF(D260&gt;=8,5,4),IF(C260=2,IF(D260&gt;=7,3,2),1))</f>
      </c>
    </row>
    <row r="261" spans="1:7" x14ac:dyDescent="0.25">
      <c r="A261" s="72">
        <v>259</v>
      </c>
      <c r="B261" s="64" t="s">
        <v>392</v>
      </c>
      <c r="C261" s="13">
        <v>1</v>
      </c>
      <c r="D261" s="17">
        <v>5.5</v>
      </c>
      <c r="E261" s="73">
        <v>30.0892</v>
      </c>
      <c r="F261" s="73">
        <v>-95.9876</v>
      </c>
      <c r="G261" s="66">
        <f>IF(C261=3,IF(D261&gt;=8,5,4),IF(C261=2,IF(D261&gt;=7,3,2),1))</f>
      </c>
    </row>
    <row r="262" spans="1:7" x14ac:dyDescent="0.25">
      <c r="A262" s="74">
        <v>260</v>
      </c>
      <c r="B262" s="67" t="s">
        <v>393</v>
      </c>
      <c r="C262" s="20">
        <v>1</v>
      </c>
      <c r="D262" s="23">
        <v>4.05</v>
      </c>
      <c r="E262" s="75">
        <v>40.344</v>
      </c>
      <c r="F262" s="75">
        <v>-74.6514</v>
      </c>
      <c r="G262" s="69">
        <f>IF(C262=3,IF(D262&gt;=8,5,4),IF(C262=2,IF(D262&gt;=7,3,2),1))</f>
      </c>
    </row>
    <row r="263" spans="1:7" x14ac:dyDescent="0.25">
      <c r="A263" s="72">
        <v>261</v>
      </c>
      <c r="B263" s="64" t="s">
        <v>394</v>
      </c>
      <c r="C263" s="13">
        <v>2</v>
      </c>
      <c r="D263" s="17">
        <v>5.7</v>
      </c>
      <c r="E263" s="73">
        <v>41.842</v>
      </c>
      <c r="F263" s="73">
        <v>-71.4354</v>
      </c>
      <c r="G263" s="66">
        <f>IF(C263=3,IF(D263&gt;=8,5,4),IF(C263=2,IF(D263&gt;=7,3,2),1))</f>
      </c>
    </row>
    <row r="264" spans="1:7" x14ac:dyDescent="0.25">
      <c r="A264" s="74">
        <v>262</v>
      </c>
      <c r="B264" s="67" t="s">
        <v>395</v>
      </c>
      <c r="C264" s="20">
        <v>2</v>
      </c>
      <c r="D264" s="23">
        <v>6.5</v>
      </c>
      <c r="E264" s="75">
        <v>40.4237</v>
      </c>
      <c r="F264" s="75">
        <v>-86.9212</v>
      </c>
      <c r="G264" s="69">
        <f>IF(C264=3,IF(D264&gt;=8,5,4),IF(C264=2,IF(D264&gt;=7,3,2),1))</f>
      </c>
    </row>
    <row r="265" spans="1:7" x14ac:dyDescent="0.25">
      <c r="A265" s="72">
        <v>263</v>
      </c>
      <c r="B265" s="64" t="s">
        <v>396</v>
      </c>
      <c r="C265" s="13">
        <v>1</v>
      </c>
      <c r="D265" s="17">
        <v>5.5</v>
      </c>
      <c r="E265" s="73">
        <v>41.4192</v>
      </c>
      <c r="F265" s="73">
        <v>-72.8932</v>
      </c>
      <c r="G265" s="66">
        <f>IF(C265=3,IF(D265&gt;=8,5,4),IF(C265=2,IF(D265&gt;=7,3,2),1))</f>
      </c>
    </row>
    <row r="266" spans="1:7" x14ac:dyDescent="0.25">
      <c r="A266" s="74">
        <v>264</v>
      </c>
      <c r="B266" s="67" t="s">
        <v>397</v>
      </c>
      <c r="C266" s="20">
        <v>1</v>
      </c>
      <c r="D266" s="23">
        <v>6</v>
      </c>
      <c r="E266" s="75">
        <v>37.1354</v>
      </c>
      <c r="F266" s="75">
        <v>-80.5593</v>
      </c>
      <c r="G266" s="69">
        <f>IF(C266=3,IF(D266&gt;=8,5,4),IF(C266=2,IF(D266&gt;=7,3,2),1))</f>
      </c>
    </row>
    <row r="267" spans="1:7" x14ac:dyDescent="0.25">
      <c r="A267" s="72">
        <v>265</v>
      </c>
      <c r="B267" s="64" t="s">
        <v>398</v>
      </c>
      <c r="C267" s="13">
        <v>1</v>
      </c>
      <c r="D267" s="17">
        <v>5</v>
      </c>
      <c r="E267" s="73">
        <v>41.0819</v>
      </c>
      <c r="F267" s="73">
        <v>-74.1773</v>
      </c>
      <c r="G267" s="66">
        <f>IF(C267=3,IF(D267&gt;=8,5,4),IF(C267=2,IF(D267&gt;=7,3,2),1))</f>
      </c>
    </row>
    <row r="268" spans="1:7" x14ac:dyDescent="0.25">
      <c r="A268" s="74">
        <v>266</v>
      </c>
      <c r="B268" s="67" t="s">
        <v>399</v>
      </c>
      <c r="C268" s="20">
        <v>1</v>
      </c>
      <c r="D268" s="23">
        <v>3.2</v>
      </c>
      <c r="E268" s="75">
        <v>45.481</v>
      </c>
      <c r="F268" s="75">
        <v>-122.63</v>
      </c>
      <c r="G268" s="69">
        <f>IF(C268=3,IF(D268&gt;=8,5,4),IF(C268=2,IF(D268&gt;=7,3,2),1))</f>
      </c>
    </row>
    <row r="269" spans="1:7" x14ac:dyDescent="0.25">
      <c r="A269" s="72">
        <v>267</v>
      </c>
      <c r="B269" s="64" t="s">
        <v>400</v>
      </c>
      <c r="C269" s="13">
        <v>1</v>
      </c>
      <c r="D269" s="17">
        <v>4.43</v>
      </c>
      <c r="E269" s="73">
        <v>42.7302</v>
      </c>
      <c r="F269" s="73">
        <v>-73.6788</v>
      </c>
      <c r="G269" s="66">
        <f>IF(C269=3,IF(D269&gt;=8,5,4),IF(C269=2,IF(D269&gt;=7,3,2),1))</f>
      </c>
    </row>
    <row r="270" spans="1:7" x14ac:dyDescent="0.25">
      <c r="A270" s="74">
        <v>268</v>
      </c>
      <c r="B270" s="67" t="s">
        <v>401</v>
      </c>
      <c r="C270" s="20">
        <v>1</v>
      </c>
      <c r="D270" s="23">
        <v>2.95</v>
      </c>
      <c r="E270" s="75">
        <v>35.153</v>
      </c>
      <c r="F270" s="75">
        <v>-89.987</v>
      </c>
      <c r="G270" s="69">
        <f>IF(C270=3,IF(D270&gt;=8,5,4),IF(C270=2,IF(D270&gt;=7,3,2),1))</f>
      </c>
    </row>
    <row r="271" spans="1:7" x14ac:dyDescent="0.25">
      <c r="A271" s="72">
        <v>269</v>
      </c>
      <c r="B271" s="64" t="s">
        <v>402</v>
      </c>
      <c r="C271" s="13">
        <v>1</v>
      </c>
      <c r="D271" s="17">
        <v>4.88</v>
      </c>
      <c r="E271" s="73">
        <v>29.7174</v>
      </c>
      <c r="F271" s="73">
        <v>-95.4018</v>
      </c>
      <c r="G271" s="66">
        <f>IF(C271=3,IF(D271&gt;=8,5,4),IF(C271=2,IF(D271&gt;=7,3,2),1))</f>
      </c>
    </row>
    <row r="272" spans="1:7" x14ac:dyDescent="0.25">
      <c r="A272" s="74">
        <v>270</v>
      </c>
      <c r="B272" s="67" t="s">
        <v>403</v>
      </c>
      <c r="C272" s="20">
        <v>1</v>
      </c>
      <c r="D272" s="23">
        <v>5</v>
      </c>
      <c r="E272" s="75">
        <v>40.2818</v>
      </c>
      <c r="F272" s="75">
        <v>-74.7453</v>
      </c>
      <c r="G272" s="69">
        <f>IF(C272=3,IF(D272&gt;=8,5,4),IF(C272=2,IF(D272&gt;=7,3,2),1))</f>
      </c>
    </row>
    <row r="273" spans="1:7" x14ac:dyDescent="0.25">
      <c r="A273" s="72">
        <v>271</v>
      </c>
      <c r="B273" s="64" t="s">
        <v>404</v>
      </c>
      <c r="C273" s="13">
        <v>1</v>
      </c>
      <c r="D273" s="17">
        <v>4.25</v>
      </c>
      <c r="E273" s="73">
        <v>43.0846</v>
      </c>
      <c r="F273" s="73">
        <v>-77.6744</v>
      </c>
      <c r="G273" s="66">
        <f>IF(C273=3,IF(D273&gt;=8,5,4),IF(C273=2,IF(D273&gt;=7,3,2),1))</f>
      </c>
    </row>
    <row r="274" spans="1:7" x14ac:dyDescent="0.25">
      <c r="A274" s="74">
        <v>272</v>
      </c>
      <c r="B274" s="67" t="s">
        <v>405</v>
      </c>
      <c r="C274" s="20">
        <v>1</v>
      </c>
      <c r="D274" s="23">
        <v>5.5</v>
      </c>
      <c r="E274" s="75">
        <v>41.642</v>
      </c>
      <c r="F274" s="75">
        <v>-71.2614</v>
      </c>
      <c r="G274" s="69">
        <f>IF(C274=3,IF(D274&gt;=8,5,4),IF(C274=2,IF(D274&gt;=7,3,2),1))</f>
      </c>
    </row>
    <row r="275" spans="1:7" x14ac:dyDescent="0.25">
      <c r="A275" s="72">
        <v>273</v>
      </c>
      <c r="B275" s="64" t="s">
        <v>406</v>
      </c>
      <c r="C275" s="13">
        <v>1</v>
      </c>
      <c r="D275" s="17">
        <v>3.83</v>
      </c>
      <c r="E275" s="73">
        <v>28.5961</v>
      </c>
      <c r="F275" s="73">
        <v>-81.3498</v>
      </c>
      <c r="G275" s="66">
        <f>IF(C275=3,IF(D275&gt;=8,5,4),IF(C275=2,IF(D275&gt;=7,3,2),1))</f>
      </c>
    </row>
    <row r="276" spans="1:7" x14ac:dyDescent="0.25">
      <c r="A276" s="74">
        <v>274</v>
      </c>
      <c r="B276" s="67" t="s">
        <v>407</v>
      </c>
      <c r="C276" s="20">
        <v>1</v>
      </c>
      <c r="D276" s="23">
        <v>5.8</v>
      </c>
      <c r="E276" s="75">
        <v>39.7104</v>
      </c>
      <c r="F276" s="75">
        <v>-75.1199</v>
      </c>
      <c r="G276" s="69">
        <f>IF(C276=3,IF(D276&gt;=8,5,4),IF(C276=2,IF(D276&gt;=7,3,2),1))</f>
      </c>
    </row>
    <row r="277" spans="1:7" x14ac:dyDescent="0.25">
      <c r="A277" s="72">
        <v>275</v>
      </c>
      <c r="B277" s="64" t="s">
        <v>408</v>
      </c>
      <c r="C277" s="13">
        <v>2</v>
      </c>
      <c r="D277" s="17">
        <v>7.25</v>
      </c>
      <c r="E277" s="73">
        <v>40.5008</v>
      </c>
      <c r="F277" s="73">
        <v>-74.4474</v>
      </c>
      <c r="G277" s="66">
        <f>IF(C277=3,IF(D277&gt;=8,5,4),IF(C277=2,IF(D277&gt;=7,3,2),1))</f>
      </c>
    </row>
    <row r="278" spans="1:7" x14ac:dyDescent="0.25">
      <c r="A278" s="74">
        <v>276</v>
      </c>
      <c r="B278" s="67" t="s">
        <v>409</v>
      </c>
      <c r="C278" s="20">
        <v>1</v>
      </c>
      <c r="D278" s="23">
        <v>5</v>
      </c>
      <c r="E278" s="75">
        <v>41.2112</v>
      </c>
      <c r="F278" s="75">
        <v>-73.237</v>
      </c>
      <c r="G278" s="69">
        <f>IF(C278=3,IF(D278&gt;=8,5,4),IF(C278=2,IF(D278&gt;=7,3,2),1))</f>
      </c>
    </row>
    <row r="279" spans="1:7" x14ac:dyDescent="0.25">
      <c r="A279" s="72">
        <v>277</v>
      </c>
      <c r="B279" s="64" t="s">
        <v>410</v>
      </c>
      <c r="C279" s="13">
        <v>1</v>
      </c>
      <c r="D279" s="17">
        <v>5.5</v>
      </c>
      <c r="E279" s="73">
        <v>38.3735</v>
      </c>
      <c r="F279" s="73">
        <v>-75.6015</v>
      </c>
      <c r="G279" s="66">
        <f>IF(C279=3,IF(D279&gt;=8,5,4),IF(C279=2,IF(D279&gt;=7,3,2),1))</f>
      </c>
    </row>
    <row r="280" spans="1:7" x14ac:dyDescent="0.25">
      <c r="A280" s="74">
        <v>278</v>
      </c>
      <c r="B280" s="67" t="s">
        <v>411</v>
      </c>
      <c r="C280" s="20">
        <v>1</v>
      </c>
      <c r="D280" s="23">
        <v>6</v>
      </c>
      <c r="E280" s="75">
        <v>30.7146</v>
      </c>
      <c r="F280" s="75">
        <v>-95.5464</v>
      </c>
      <c r="G280" s="69">
        <f>IF(C280=3,IF(D280&gt;=8,5,4),IF(C280=2,IF(D280&gt;=7,3,2),1))</f>
      </c>
    </row>
    <row r="281" spans="1:7" x14ac:dyDescent="0.25">
      <c r="A281" s="72">
        <v>279</v>
      </c>
      <c r="B281" s="64" t="s">
        <v>412</v>
      </c>
      <c r="C281" s="13">
        <v>1</v>
      </c>
      <c r="D281" s="17">
        <v>4.5</v>
      </c>
      <c r="E281" s="73">
        <v>33.4639</v>
      </c>
      <c r="F281" s="73">
        <v>-86.7925</v>
      </c>
      <c r="G281" s="66">
        <f>IF(C281=3,IF(D281&gt;=8,5,4),IF(C281=2,IF(D281&gt;=7,3,2),1))</f>
      </c>
    </row>
    <row r="282" spans="1:7" x14ac:dyDescent="0.25">
      <c r="A282" s="74">
        <v>280</v>
      </c>
      <c r="B282" s="67" t="s">
        <v>413</v>
      </c>
      <c r="C282" s="20">
        <v>2</v>
      </c>
      <c r="D282" s="23">
        <v>6.93</v>
      </c>
      <c r="E282" s="75">
        <v>32.7757</v>
      </c>
      <c r="F282" s="75">
        <v>-117.0719</v>
      </c>
      <c r="G282" s="69">
        <f>IF(C282=3,IF(D282&gt;=8,5,4),IF(C282=2,IF(D282&gt;=7,3,2),1))</f>
      </c>
    </row>
    <row r="283" spans="1:7" x14ac:dyDescent="0.25">
      <c r="A283" s="72">
        <v>281</v>
      </c>
      <c r="B283" s="64" t="s">
        <v>414</v>
      </c>
      <c r="C283" s="13">
        <v>2</v>
      </c>
      <c r="D283" s="17">
        <v>5.5</v>
      </c>
      <c r="E283" s="73">
        <v>37.3352</v>
      </c>
      <c r="F283" s="73">
        <v>-121.8811</v>
      </c>
      <c r="G283" s="66">
        <f>IF(C283=3,IF(D283&gt;=8,5,4),IF(C283=2,IF(D283&gt;=7,3,2),1))</f>
      </c>
    </row>
    <row r="284" spans="1:7" x14ac:dyDescent="0.25">
      <c r="A284" s="74">
        <v>282</v>
      </c>
      <c r="B284" s="67" t="s">
        <v>415</v>
      </c>
      <c r="C284" s="20">
        <v>2</v>
      </c>
      <c r="D284" s="23">
        <v>5.63</v>
      </c>
      <c r="E284" s="75">
        <v>37.3496</v>
      </c>
      <c r="F284" s="75">
        <v>-121.939</v>
      </c>
      <c r="G284" s="69">
        <f>IF(C284=3,IF(D284&gt;=8,5,4),IF(C284=2,IF(D284&gt;=7,3,2),1))</f>
      </c>
    </row>
    <row r="285" spans="1:7" x14ac:dyDescent="0.25">
      <c r="A285" s="72">
        <v>283</v>
      </c>
      <c r="B285" s="64" t="s">
        <v>416</v>
      </c>
      <c r="C285" s="13">
        <v>1</v>
      </c>
      <c r="D285" s="17">
        <v>3.05</v>
      </c>
      <c r="E285" s="73">
        <v>40.938</v>
      </c>
      <c r="F285" s="73">
        <v>-73.8388</v>
      </c>
      <c r="G285" s="66">
        <f>IF(C285=3,IF(D285&gt;=8,5,4),IF(C285=2,IF(D285&gt;=7,3,2),1))</f>
      </c>
    </row>
    <row r="286" spans="1:7" x14ac:dyDescent="0.25">
      <c r="A286" s="74">
        <v>284</v>
      </c>
      <c r="B286" s="67" t="s">
        <v>417</v>
      </c>
      <c r="C286" s="20">
        <v>1</v>
      </c>
      <c r="D286" s="23">
        <v>3.45</v>
      </c>
      <c r="E286" s="75">
        <v>34.104</v>
      </c>
      <c r="F286" s="75">
        <v>-117.7081</v>
      </c>
      <c r="G286" s="69">
        <f>IF(C286=3,IF(D286&gt;=8,5,4),IF(C286=2,IF(D286&gt;=7,3,2),1))</f>
      </c>
    </row>
    <row r="287" spans="1:7" x14ac:dyDescent="0.25">
      <c r="A287" s="72">
        <v>285</v>
      </c>
      <c r="B287" s="64" t="s">
        <v>418</v>
      </c>
      <c r="C287" s="13">
        <v>1</v>
      </c>
      <c r="D287" s="17">
        <v>4.5</v>
      </c>
      <c r="E287" s="73">
        <v>47.6101</v>
      </c>
      <c r="F287" s="73">
        <v>-122.3194</v>
      </c>
      <c r="G287" s="66">
        <f>IF(C287=3,IF(D287&gt;=8,5,4),IF(C287=2,IF(D287&gt;=7,3,2),1))</f>
      </c>
    </row>
    <row r="288" spans="1:7" x14ac:dyDescent="0.25">
      <c r="A288" s="74">
        <v>286</v>
      </c>
      <c r="B288" s="67" t="s">
        <v>419</v>
      </c>
      <c r="C288" s="20">
        <v>1</v>
      </c>
      <c r="D288" s="23">
        <v>3.8</v>
      </c>
      <c r="E288" s="75">
        <v>40.7423</v>
      </c>
      <c r="F288" s="75">
        <v>-74.2494</v>
      </c>
      <c r="G288" s="69">
        <f>IF(C288=3,IF(D288&gt;=8,5,4),IF(C288=2,IF(D288&gt;=7,3,2),1))</f>
      </c>
    </row>
    <row r="289" spans="1:7" x14ac:dyDescent="0.25">
      <c r="A289" s="72">
        <v>287</v>
      </c>
      <c r="B289" s="64" t="s">
        <v>420</v>
      </c>
      <c r="C289" s="13">
        <v>1</v>
      </c>
      <c r="D289" s="17">
        <v>2.93</v>
      </c>
      <c r="E289" s="73">
        <v>35.203</v>
      </c>
      <c r="F289" s="73">
        <v>-85.92</v>
      </c>
      <c r="G289" s="66">
        <f>IF(C289=3,IF(D289&gt;=8,5,4),IF(C289=2,IF(D289&gt;=7,3,2),1))</f>
      </c>
    </row>
    <row r="290" spans="1:7" x14ac:dyDescent="0.25">
      <c r="A290" s="74">
        <v>288</v>
      </c>
      <c r="B290" s="67" t="s">
        <v>421</v>
      </c>
      <c r="C290" s="20">
        <v>1</v>
      </c>
      <c r="D290" s="23">
        <v>5</v>
      </c>
      <c r="E290" s="75">
        <v>39.4378</v>
      </c>
      <c r="F290" s="75">
        <v>-77.8055</v>
      </c>
      <c r="G290" s="69">
        <f>IF(C290=3,IF(D290&gt;=8,5,4),IF(C290=2,IF(D290&gt;=7,3,2),1))</f>
      </c>
    </row>
    <row r="291" spans="1:7" x14ac:dyDescent="0.25">
      <c r="A291" s="72">
        <v>289</v>
      </c>
      <c r="B291" s="64" t="s">
        <v>422</v>
      </c>
      <c r="C291" s="13">
        <v>1</v>
      </c>
      <c r="D291" s="17">
        <v>6</v>
      </c>
      <c r="E291" s="73">
        <v>40.059</v>
      </c>
      <c r="F291" s="73">
        <v>-77.52</v>
      </c>
      <c r="G291" s="66">
        <f>IF(C291=3,IF(D291&gt;=8,5,4),IF(C291=2,IF(D291&gt;=7,3,2),1))</f>
      </c>
    </row>
    <row r="292" spans="1:7" x14ac:dyDescent="0.25">
      <c r="A292" s="74">
        <v>290</v>
      </c>
      <c r="B292" s="67" t="s">
        <v>423</v>
      </c>
      <c r="C292" s="20">
        <v>1</v>
      </c>
      <c r="D292" s="23">
        <v>5.5</v>
      </c>
      <c r="E292" s="75">
        <v>42.7187</v>
      </c>
      <c r="F292" s="75">
        <v>-73.7528</v>
      </c>
      <c r="G292" s="69">
        <f>IF(C292=3,IF(D292&gt;=8,5,4),IF(C292=2,IF(D292&gt;=7,3,2),1))</f>
      </c>
    </row>
    <row r="293" spans="1:7" x14ac:dyDescent="0.25">
      <c r="A293" s="72">
        <v>291</v>
      </c>
      <c r="B293" s="64" t="s">
        <v>424</v>
      </c>
      <c r="C293" s="13">
        <v>1</v>
      </c>
      <c r="D293" s="17">
        <v>4</v>
      </c>
      <c r="E293" s="73">
        <v>42.3409</v>
      </c>
      <c r="F293" s="73">
        <v>-71.0987</v>
      </c>
      <c r="G293" s="66">
        <f>IF(C293=3,IF(D293&gt;=8,5,4),IF(C293=2,IF(D293&gt;=7,3,2),1))</f>
      </c>
    </row>
    <row r="294" spans="1:7" x14ac:dyDescent="0.25">
      <c r="A294" s="74">
        <v>292</v>
      </c>
      <c r="B294" s="67" t="s">
        <v>425</v>
      </c>
      <c r="C294" s="20">
        <v>1</v>
      </c>
      <c r="D294" s="23">
        <v>3.03</v>
      </c>
      <c r="E294" s="75">
        <v>43.0963</v>
      </c>
      <c r="F294" s="75">
        <v>-73.7868</v>
      </c>
      <c r="G294" s="69">
        <f>IF(C294=3,IF(D294&gt;=8,5,4),IF(C294=2,IF(D294&gt;=7,3,2),1))</f>
      </c>
    </row>
    <row r="295" spans="1:7" x14ac:dyDescent="0.25">
      <c r="A295" s="72">
        <v>293</v>
      </c>
      <c r="B295" s="64" t="s">
        <v>426</v>
      </c>
      <c r="C295" s="13">
        <v>1</v>
      </c>
      <c r="D295" s="17">
        <v>6</v>
      </c>
      <c r="E295" s="73">
        <v>41.0665</v>
      </c>
      <c r="F295" s="73">
        <v>-80.0584</v>
      </c>
      <c r="G295" s="66">
        <f>IF(C295=3,IF(D295&gt;=8,5,4),IF(C295=2,IF(D295&gt;=7,3,2),1))</f>
      </c>
    </row>
    <row r="296" spans="1:7" x14ac:dyDescent="0.25">
      <c r="A296" s="74">
        <v>294</v>
      </c>
      <c r="B296" s="67" t="s">
        <v>427</v>
      </c>
      <c r="C296" s="20">
        <v>1</v>
      </c>
      <c r="D296" s="23">
        <v>3.55</v>
      </c>
      <c r="E296" s="75">
        <v>42.3174</v>
      </c>
      <c r="F296" s="75">
        <v>-72.6381</v>
      </c>
      <c r="G296" s="69">
        <f>IF(C296=3,IF(D296&gt;=8,5,4),IF(C296=2,IF(D296&gt;=7,3,2),1))</f>
      </c>
    </row>
    <row r="297" spans="1:7" x14ac:dyDescent="0.25">
      <c r="A297" s="72">
        <v>295</v>
      </c>
      <c r="B297" s="64" t="s">
        <v>428</v>
      </c>
      <c r="C297" s="13">
        <v>1</v>
      </c>
      <c r="D297" s="17">
        <v>5.5</v>
      </c>
      <c r="E297" s="73">
        <v>38.3405</v>
      </c>
      <c r="F297" s="73">
        <v>-122.6744</v>
      </c>
      <c r="G297" s="66">
        <f>IF(C297=3,IF(D297&gt;=8,5,4),IF(C297=2,IF(D297&gt;=7,3,2),1))</f>
      </c>
    </row>
    <row r="298" spans="1:7" x14ac:dyDescent="0.25">
      <c r="A298" s="74">
        <v>296</v>
      </c>
      <c r="B298" s="67" t="s">
        <v>429</v>
      </c>
      <c r="C298" s="20">
        <v>1</v>
      </c>
      <c r="D298" s="23">
        <v>5.5</v>
      </c>
      <c r="E298" s="75">
        <v>33.4957</v>
      </c>
      <c r="F298" s="75">
        <v>-80.8499</v>
      </c>
      <c r="G298" s="69">
        <f>IF(C298=3,IF(D298&gt;=8,5,4),IF(C298=2,IF(D298&gt;=7,3,2),1))</f>
      </c>
    </row>
    <row r="299" spans="1:7" x14ac:dyDescent="0.25">
      <c r="A299" s="72">
        <v>297</v>
      </c>
      <c r="B299" s="64" t="s">
        <v>430</v>
      </c>
      <c r="C299" s="13">
        <v>2</v>
      </c>
      <c r="D299" s="17">
        <v>5.03</v>
      </c>
      <c r="E299" s="73">
        <v>44.3198</v>
      </c>
      <c r="F299" s="73">
        <v>-96.7836</v>
      </c>
      <c r="G299" s="66">
        <f>IF(C299=3,IF(D299&gt;=8,5,4),IF(C299=2,IF(D299&gt;=7,3,2),1))</f>
      </c>
    </row>
    <row r="300" spans="1:7" x14ac:dyDescent="0.25">
      <c r="A300" s="74">
        <v>298</v>
      </c>
      <c r="B300" s="67" t="s">
        <v>431</v>
      </c>
      <c r="C300" s="20">
        <v>1</v>
      </c>
      <c r="D300" s="23">
        <v>5.5</v>
      </c>
      <c r="E300" s="75">
        <v>37.3129</v>
      </c>
      <c r="F300" s="75">
        <v>-89.5623</v>
      </c>
      <c r="G300" s="69">
        <f>IF(C300=3,IF(D300&gt;=8,5,4),IF(C300=2,IF(D300&gt;=7,3,2),1))</f>
      </c>
    </row>
    <row r="301" spans="1:7" x14ac:dyDescent="0.25">
      <c r="A301" s="72">
        <v>299</v>
      </c>
      <c r="B301" s="64" t="s">
        <v>432</v>
      </c>
      <c r="C301" s="13">
        <v>1</v>
      </c>
      <c r="D301" s="17">
        <v>6</v>
      </c>
      <c r="E301" s="73">
        <v>30.5125</v>
      </c>
      <c r="F301" s="73">
        <v>-90.4641</v>
      </c>
      <c r="G301" s="66">
        <f>IF(C301=3,IF(D301&gt;=8,5,4),IF(C301=2,IF(D301&gt;=7,3,2),1))</f>
      </c>
    </row>
    <row r="302" spans="1:7" x14ac:dyDescent="0.25">
      <c r="A302" s="74">
        <v>300</v>
      </c>
      <c r="B302" s="67" t="s">
        <v>433</v>
      </c>
      <c r="C302" s="20">
        <v>2</v>
      </c>
      <c r="D302" s="23">
        <v>7</v>
      </c>
      <c r="E302" s="75">
        <v>37.7154</v>
      </c>
      <c r="F302" s="75">
        <v>-89.2168</v>
      </c>
      <c r="G302" s="69">
        <f>IF(C302=3,IF(D302&gt;=8,5,4),IF(C302=2,IF(D302&gt;=7,3,2),1))</f>
      </c>
    </row>
    <row r="303" spans="1:7" x14ac:dyDescent="0.25">
      <c r="A303" s="72">
        <v>301</v>
      </c>
      <c r="B303" s="64" t="s">
        <v>434</v>
      </c>
      <c r="C303" s="13">
        <v>1</v>
      </c>
      <c r="D303" s="17">
        <v>4.73</v>
      </c>
      <c r="E303" s="73">
        <v>32.8421</v>
      </c>
      <c r="F303" s="73">
        <v>-96.7849</v>
      </c>
      <c r="G303" s="66">
        <f>IF(C303=3,IF(D303&gt;=8,5,4),IF(C303=2,IF(D303&gt;=7,3,2),1))</f>
      </c>
    </row>
    <row r="304" spans="1:7" x14ac:dyDescent="0.25">
      <c r="A304" s="74">
        <v>302</v>
      </c>
      <c r="B304" s="67" t="s">
        <v>435</v>
      </c>
      <c r="C304" s="20">
        <v>1</v>
      </c>
      <c r="D304" s="23">
        <v>4.5</v>
      </c>
      <c r="E304" s="75">
        <v>42.9605</v>
      </c>
      <c r="F304" s="75">
        <v>-71.4526</v>
      </c>
      <c r="G304" s="69">
        <f>IF(C304=3,IF(D304&gt;=8,5,4),IF(C304=2,IF(D304&gt;=7,3,2),1))</f>
      </c>
    </row>
    <row r="305" spans="1:7" x14ac:dyDescent="0.25">
      <c r="A305" s="72">
        <v>303</v>
      </c>
      <c r="B305" s="64" t="s">
        <v>436</v>
      </c>
      <c r="C305" s="13">
        <v>1</v>
      </c>
      <c r="D305" s="17">
        <v>5</v>
      </c>
      <c r="E305" s="73">
        <v>42.3332</v>
      </c>
      <c r="F305" s="73">
        <v>-122.8537</v>
      </c>
      <c r="G305" s="66">
        <f>IF(C305=3,IF(D305&gt;=8,5,4),IF(C305=2,IF(D305&gt;=7,3,2),1))</f>
      </c>
    </row>
    <row r="306" spans="1:7" x14ac:dyDescent="0.25">
      <c r="A306" s="74">
        <v>304</v>
      </c>
      <c r="B306" s="67" t="s">
        <v>437</v>
      </c>
      <c r="C306" s="20">
        <v>1</v>
      </c>
      <c r="D306" s="23">
        <v>6</v>
      </c>
      <c r="E306" s="75">
        <v>30.5208</v>
      </c>
      <c r="F306" s="75">
        <v>-91.1894</v>
      </c>
      <c r="G306" s="69">
        <f>IF(C306=3,IF(D306&gt;=8,5,4),IF(C306=2,IF(D306&gt;=7,3,2),1))</f>
      </c>
    </row>
    <row r="307" spans="1:7" x14ac:dyDescent="0.25">
      <c r="A307" s="72">
        <v>305</v>
      </c>
      <c r="B307" s="64" t="s">
        <v>438</v>
      </c>
      <c r="C307" s="13">
        <v>1</v>
      </c>
      <c r="D307" s="17">
        <v>5</v>
      </c>
      <c r="E307" s="73">
        <v>37.6772</v>
      </c>
      <c r="F307" s="73">
        <v>-113.0625</v>
      </c>
      <c r="G307" s="66">
        <f>IF(C307=3,IF(D307&gt;=8,5,4),IF(C307=2,IF(D307&gt;=7,3,2),1))</f>
      </c>
    </row>
    <row r="308" spans="1:7" x14ac:dyDescent="0.25">
      <c r="A308" s="74">
        <v>306</v>
      </c>
      <c r="B308" s="67" t="s">
        <v>439</v>
      </c>
      <c r="C308" s="20">
        <v>1</v>
      </c>
      <c r="D308" s="23">
        <v>3.93</v>
      </c>
      <c r="E308" s="75">
        <v>33.7471</v>
      </c>
      <c r="F308" s="75">
        <v>-84.4127</v>
      </c>
      <c r="G308" s="69">
        <f>IF(C308=3,IF(D308&gt;=8,5,4),IF(C308=2,IF(D308&gt;=7,3,2),1))</f>
      </c>
    </row>
    <row r="309" spans="1:7" x14ac:dyDescent="0.25">
      <c r="A309" s="72">
        <v>307</v>
      </c>
      <c r="B309" s="64" t="s">
        <v>440</v>
      </c>
      <c r="C309" s="13">
        <v>1</v>
      </c>
      <c r="D309" s="17">
        <v>6</v>
      </c>
      <c r="E309" s="73">
        <v>45.551</v>
      </c>
      <c r="F309" s="73">
        <v>-94.151</v>
      </c>
      <c r="G309" s="66">
        <f>IF(C309=3,IF(D309&gt;=8,5,4),IF(C309=2,IF(D309&gt;=7,3,2),1))</f>
      </c>
    </row>
    <row r="310" spans="1:7" x14ac:dyDescent="0.25">
      <c r="A310" s="74">
        <v>308</v>
      </c>
      <c r="B310" s="67" t="s">
        <v>441</v>
      </c>
      <c r="C310" s="20">
        <v>1</v>
      </c>
      <c r="D310" s="23">
        <v>4.5</v>
      </c>
      <c r="E310" s="75">
        <v>30.2297</v>
      </c>
      <c r="F310" s="75">
        <v>-97.7556</v>
      </c>
      <c r="G310" s="69">
        <f>IF(C310=3,IF(D310&gt;=8,5,4),IF(C310=2,IF(D310&gt;=7,3,2),1))</f>
      </c>
    </row>
    <row r="311" spans="1:7" x14ac:dyDescent="0.25">
      <c r="A311" s="72">
        <v>309</v>
      </c>
      <c r="B311" s="64" t="s">
        <v>442</v>
      </c>
      <c r="C311" s="13">
        <v>1</v>
      </c>
      <c r="D311" s="17">
        <v>5</v>
      </c>
      <c r="E311" s="73">
        <v>40.7234</v>
      </c>
      <c r="F311" s="73">
        <v>-73.7954</v>
      </c>
      <c r="G311" s="66">
        <f>IF(C311=3,IF(D311&gt;=8,5,4),IF(C311=2,IF(D311&gt;=7,3,2),1))</f>
      </c>
    </row>
    <row r="312" spans="1:7" x14ac:dyDescent="0.25">
      <c r="A312" s="74">
        <v>310</v>
      </c>
      <c r="B312" s="67" t="s">
        <v>443</v>
      </c>
      <c r="C312" s="20">
        <v>1</v>
      </c>
      <c r="D312" s="23">
        <v>3.75</v>
      </c>
      <c r="E312" s="75">
        <v>38.6366</v>
      </c>
      <c r="F312" s="75">
        <v>-90.234</v>
      </c>
      <c r="G312" s="69">
        <f>IF(C312=3,IF(D312&gt;=8,5,4),IF(C312=2,IF(D312&gt;=7,3,2),1))</f>
      </c>
    </row>
    <row r="313" spans="1:7" x14ac:dyDescent="0.25">
      <c r="A313" s="72">
        <v>311</v>
      </c>
      <c r="B313" s="64" t="s">
        <v>444</v>
      </c>
      <c r="C313" s="13">
        <v>1</v>
      </c>
      <c r="D313" s="17">
        <v>3.25</v>
      </c>
      <c r="E313" s="73">
        <v>44.4621</v>
      </c>
      <c r="F313" s="73">
        <v>-93.1821</v>
      </c>
      <c r="G313" s="66">
        <f>IF(C313=3,IF(D313&gt;=8,5,4),IF(C313=2,IF(D313&gt;=7,3,2),1))</f>
      </c>
    </row>
    <row r="314" spans="1:7" x14ac:dyDescent="0.25">
      <c r="A314" s="74">
        <v>312</v>
      </c>
      <c r="B314" s="67" t="s">
        <v>445</v>
      </c>
      <c r="C314" s="20">
        <v>1</v>
      </c>
      <c r="D314" s="23">
        <v>4.93</v>
      </c>
      <c r="E314" s="75">
        <v>37.4275</v>
      </c>
      <c r="F314" s="75">
        <v>-122.1697</v>
      </c>
      <c r="G314" s="69">
        <f>IF(C314=3,IF(D314&gt;=8,5,4),IF(C314=2,IF(D314&gt;=7,3,2),1))</f>
      </c>
    </row>
    <row r="315" spans="1:7" x14ac:dyDescent="0.25">
      <c r="A315" s="72">
        <v>313</v>
      </c>
      <c r="B315" s="64" t="s">
        <v>446</v>
      </c>
      <c r="C315" s="13">
        <v>1</v>
      </c>
      <c r="D315" s="17">
        <v>6</v>
      </c>
      <c r="E315" s="73">
        <v>31.6214</v>
      </c>
      <c r="F315" s="73">
        <v>-94.6506</v>
      </c>
      <c r="G315" s="66">
        <f>IF(C315=3,IF(D315&gt;=8,5,4),IF(C315=2,IF(D315&gt;=7,3,2),1))</f>
      </c>
    </row>
    <row r="316" spans="1:7" x14ac:dyDescent="0.25">
      <c r="A316" s="74">
        <v>314</v>
      </c>
      <c r="B316" s="67" t="s">
        <v>447</v>
      </c>
      <c r="C316" s="20">
        <v>1</v>
      </c>
      <c r="D316" s="23">
        <v>3.78</v>
      </c>
      <c r="E316" s="75">
        <v>29.0388</v>
      </c>
      <c r="F316" s="75">
        <v>-81.301</v>
      </c>
      <c r="G316" s="69">
        <f>IF(C316=3,IF(D316&gt;=8,5,4),IF(C316=2,IF(D316&gt;=7,3,2),1))</f>
      </c>
    </row>
    <row r="317" spans="1:7" x14ac:dyDescent="0.25">
      <c r="A317" s="72">
        <v>315</v>
      </c>
      <c r="B317" s="64" t="s">
        <v>448</v>
      </c>
      <c r="C317" s="13">
        <v>1</v>
      </c>
      <c r="D317" s="17">
        <v>4.4</v>
      </c>
      <c r="E317" s="73">
        <v>40.7448</v>
      </c>
      <c r="F317" s="73">
        <v>-74.0245</v>
      </c>
      <c r="G317" s="66">
        <f>IF(C317=3,IF(D317&gt;=8,5,4),IF(C317=2,IF(D317&gt;=7,3,2),1))</f>
      </c>
    </row>
    <row r="318" spans="1:7" x14ac:dyDescent="0.25">
      <c r="A318" s="74">
        <v>316</v>
      </c>
      <c r="B318" s="67" t="s">
        <v>449</v>
      </c>
      <c r="C318" s="20">
        <v>1</v>
      </c>
      <c r="D318" s="23">
        <v>5.5</v>
      </c>
      <c r="E318" s="75">
        <v>39.4808</v>
      </c>
      <c r="F318" s="75">
        <v>-74.5529</v>
      </c>
      <c r="G318" s="69">
        <f>IF(C318=3,IF(D318&gt;=8,5,4),IF(C318=2,IF(D318&gt;=7,3,2),1))</f>
      </c>
    </row>
    <row r="319" spans="1:7" x14ac:dyDescent="0.25">
      <c r="A319" s="72">
        <v>317</v>
      </c>
      <c r="B319" s="64" t="s">
        <v>450</v>
      </c>
      <c r="C319" s="13">
        <v>1</v>
      </c>
      <c r="D319" s="17">
        <v>3.45</v>
      </c>
      <c r="E319" s="73">
        <v>42.1033</v>
      </c>
      <c r="F319" s="73">
        <v>-71.1088</v>
      </c>
      <c r="G319" s="66">
        <f>IF(C319=3,IF(D319&gt;=8,5,4),IF(C319=2,IF(D319&gt;=7,3,2),1))</f>
      </c>
    </row>
    <row r="320" spans="1:7" x14ac:dyDescent="0.25">
      <c r="A320" s="74">
        <v>318</v>
      </c>
      <c r="B320" s="67" t="s">
        <v>451</v>
      </c>
      <c r="C320" s="20">
        <v>2</v>
      </c>
      <c r="D320" s="23">
        <v>5.2</v>
      </c>
      <c r="E320" s="75">
        <v>40.9126</v>
      </c>
      <c r="F320" s="75">
        <v>-73.1234</v>
      </c>
      <c r="G320" s="69">
        <f>IF(C320=3,IF(D320&gt;=8,5,4),IF(C320=2,IF(D320&gt;=7,3,2),1))</f>
      </c>
    </row>
    <row r="321" spans="1:7" x14ac:dyDescent="0.25">
      <c r="A321" s="72">
        <v>319</v>
      </c>
      <c r="B321" s="64" t="s">
        <v>452</v>
      </c>
      <c r="C321" s="13">
        <v>1</v>
      </c>
      <c r="D321" s="17">
        <v>4.5</v>
      </c>
      <c r="E321" s="73">
        <v>42.3588</v>
      </c>
      <c r="F321" s="73">
        <v>-71.0623</v>
      </c>
      <c r="G321" s="66">
        <f>IF(C321=3,IF(D321&gt;=8,5,4),IF(C321=2,IF(D321&gt;=7,3,2),1))</f>
      </c>
    </row>
    <row r="322" spans="1:7" x14ac:dyDescent="0.25">
      <c r="A322" s="74">
        <v>320</v>
      </c>
      <c r="B322" s="67" t="s">
        <v>453</v>
      </c>
      <c r="C322" s="20">
        <v>2</v>
      </c>
      <c r="D322" s="23">
        <v>6.5</v>
      </c>
      <c r="E322" s="75">
        <v>42.6866</v>
      </c>
      <c r="F322" s="75">
        <v>-73.8234</v>
      </c>
      <c r="G322" s="69">
        <f>IF(C322=3,IF(D322&gt;=8,5,4),IF(C322=2,IF(D322&gt;=7,3,2),1))</f>
      </c>
    </row>
    <row r="323" spans="1:7" x14ac:dyDescent="0.25">
      <c r="A323" s="72">
        <v>321</v>
      </c>
      <c r="B323" s="64" t="s">
        <v>454</v>
      </c>
      <c r="C323" s="13">
        <v>2</v>
      </c>
      <c r="D323" s="17">
        <v>5.8</v>
      </c>
      <c r="E323" s="73">
        <v>42.0898</v>
      </c>
      <c r="F323" s="73">
        <v>-75.9697</v>
      </c>
      <c r="G323" s="66">
        <f>IF(C323=3,IF(D323&gt;=8,5,4),IF(C323=2,IF(D323&gt;=7,3,2),1))</f>
      </c>
    </row>
    <row r="324" spans="1:7" x14ac:dyDescent="0.25">
      <c r="A324" s="74">
        <v>322</v>
      </c>
      <c r="B324" s="67" t="s">
        <v>455</v>
      </c>
      <c r="C324" s="20">
        <v>1</v>
      </c>
      <c r="D324" s="23">
        <v>5.8</v>
      </c>
      <c r="E324" s="75">
        <v>43.2147</v>
      </c>
      <c r="F324" s="75">
        <v>-77.9383</v>
      </c>
      <c r="G324" s="69">
        <f>IF(C324=3,IF(D324&gt;=8,5,4),IF(C324=2,IF(D324&gt;=7,3,2),1))</f>
      </c>
    </row>
    <row r="325" spans="1:7" x14ac:dyDescent="0.25">
      <c r="A325" s="72">
        <v>323</v>
      </c>
      <c r="B325" s="64" t="s">
        <v>456</v>
      </c>
      <c r="C325" s="13">
        <v>1</v>
      </c>
      <c r="D325" s="17">
        <v>5.8</v>
      </c>
      <c r="E325" s="73">
        <v>42.9334</v>
      </c>
      <c r="F325" s="73">
        <v>-78.8817</v>
      </c>
      <c r="G325" s="66">
        <f>IF(C325=3,IF(D325&gt;=8,5,4),IF(C325=2,IF(D325&gt;=7,3,2),1))</f>
      </c>
    </row>
    <row r="326" spans="1:7" x14ac:dyDescent="0.25">
      <c r="A326" s="74">
        <v>324</v>
      </c>
      <c r="B326" s="67" t="s">
        <v>457</v>
      </c>
      <c r="C326" s="20">
        <v>1</v>
      </c>
      <c r="D326" s="23">
        <v>6.3</v>
      </c>
      <c r="E326" s="75">
        <v>42.5952</v>
      </c>
      <c r="F326" s="75">
        <v>-76.1834</v>
      </c>
      <c r="G326" s="69">
        <f>IF(C326=3,IF(D326&gt;=8,5,4),IF(C326=2,IF(D326&gt;=7,3,2),1))</f>
      </c>
    </row>
    <row r="327" spans="1:7" x14ac:dyDescent="0.25">
      <c r="A327" s="72">
        <v>325</v>
      </c>
      <c r="B327" s="64" t="s">
        <v>458</v>
      </c>
      <c r="C327" s="13">
        <v>1</v>
      </c>
      <c r="D327" s="17">
        <v>5.5</v>
      </c>
      <c r="E327" s="73">
        <v>42.4492</v>
      </c>
      <c r="F327" s="73">
        <v>-79.3345</v>
      </c>
      <c r="G327" s="66">
        <f>IF(C327=3,IF(D327&gt;=8,5,4),IF(C327=2,IF(D327&gt;=7,3,2),1))</f>
      </c>
    </row>
    <row r="328" spans="1:7" x14ac:dyDescent="0.25">
      <c r="A328" s="74">
        <v>326</v>
      </c>
      <c r="B328" s="67" t="s">
        <v>459</v>
      </c>
      <c r="C328" s="20">
        <v>1</v>
      </c>
      <c r="D328" s="23">
        <v>5</v>
      </c>
      <c r="E328" s="75">
        <v>42.7956</v>
      </c>
      <c r="F328" s="75">
        <v>-77.8186</v>
      </c>
      <c r="G328" s="69">
        <f>IF(C328=3,IF(D328&gt;=8,5,4),IF(C328=2,IF(D328&gt;=7,3,2),1))</f>
      </c>
    </row>
    <row r="329" spans="1:7" x14ac:dyDescent="0.25">
      <c r="A329" s="72">
        <v>327</v>
      </c>
      <c r="B329" s="64" t="s">
        <v>460</v>
      </c>
      <c r="C329" s="13">
        <v>1</v>
      </c>
      <c r="D329" s="17">
        <v>5.8</v>
      </c>
      <c r="E329" s="73">
        <v>41.744</v>
      </c>
      <c r="F329" s="73">
        <v>-74.0842</v>
      </c>
      <c r="G329" s="66">
        <f>IF(C329=3,IF(D329&gt;=8,5,4),IF(C329=2,IF(D329&gt;=7,3,2),1))</f>
      </c>
    </row>
    <row r="330" spans="1:7" x14ac:dyDescent="0.25">
      <c r="A330" s="74">
        <v>328</v>
      </c>
      <c r="B330" s="67" t="s">
        <v>461</v>
      </c>
      <c r="C330" s="20">
        <v>1</v>
      </c>
      <c r="D330" s="23">
        <v>6.5</v>
      </c>
      <c r="E330" s="75">
        <v>42.4665</v>
      </c>
      <c r="F330" s="75">
        <v>-75.064</v>
      </c>
      <c r="G330" s="69">
        <f>IF(C330=3,IF(D330&gt;=8,5,4),IF(C330=2,IF(D330&gt;=7,3,2),1))</f>
      </c>
    </row>
    <row r="331" spans="1:7" x14ac:dyDescent="0.25">
      <c r="A331" s="72">
        <v>329</v>
      </c>
      <c r="B331" s="64" t="s">
        <v>462</v>
      </c>
      <c r="C331" s="13">
        <v>1</v>
      </c>
      <c r="D331" s="17">
        <v>6.2</v>
      </c>
      <c r="E331" s="73">
        <v>43.4515</v>
      </c>
      <c r="F331" s="73">
        <v>-76.5449</v>
      </c>
      <c r="G331" s="66">
        <f>IF(C331=3,IF(D331&gt;=8,5,4),IF(C331=2,IF(D331&gt;=7,3,2),1))</f>
      </c>
    </row>
    <row r="332" spans="1:7" x14ac:dyDescent="0.25">
      <c r="A332" s="74">
        <v>330</v>
      </c>
      <c r="B332" s="67" t="s">
        <v>463</v>
      </c>
      <c r="C332" s="20">
        <v>1</v>
      </c>
      <c r="D332" s="23">
        <v>6</v>
      </c>
      <c r="E332" s="75">
        <v>44.695</v>
      </c>
      <c r="F332" s="75">
        <v>-73.474</v>
      </c>
      <c r="G332" s="69">
        <f>IF(C332=3,IF(D332&gt;=8,5,4),IF(C332=2,IF(D332&gt;=7,3,2),1))</f>
      </c>
    </row>
    <row r="333" spans="1:7" x14ac:dyDescent="0.25">
      <c r="A333" s="72">
        <v>331</v>
      </c>
      <c r="B333" s="64" t="s">
        <v>464</v>
      </c>
      <c r="C333" s="13">
        <v>1</v>
      </c>
      <c r="D333" s="17">
        <v>5.5</v>
      </c>
      <c r="E333" s="73">
        <v>44.6682</v>
      </c>
      <c r="F333" s="73">
        <v>-74.982</v>
      </c>
      <c r="G333" s="66">
        <f>IF(C333=3,IF(D333&gt;=8,5,4),IF(C333=2,IF(D333&gt;=7,3,2),1))</f>
      </c>
    </row>
    <row r="334" spans="1:7" x14ac:dyDescent="0.25">
      <c r="A334" s="74">
        <v>332</v>
      </c>
      <c r="B334" s="67" t="s">
        <v>465</v>
      </c>
      <c r="C334" s="20">
        <v>1</v>
      </c>
      <c r="D334" s="23">
        <v>4.8</v>
      </c>
      <c r="E334" s="75">
        <v>41.0468</v>
      </c>
      <c r="F334" s="75">
        <v>-73.6966</v>
      </c>
      <c r="G334" s="69">
        <f>IF(C334=3,IF(D334&gt;=8,5,4),IF(C334=2,IF(D334&gt;=7,3,2),1))</f>
      </c>
    </row>
    <row r="335" spans="1:7" x14ac:dyDescent="0.25">
      <c r="A335" s="72">
        <v>333</v>
      </c>
      <c r="B335" s="64" t="s">
        <v>466</v>
      </c>
      <c r="C335" s="13">
        <v>1</v>
      </c>
      <c r="D335" s="17">
        <v>3.95</v>
      </c>
      <c r="E335" s="73">
        <v>39.9026</v>
      </c>
      <c r="F335" s="73">
        <v>-75.3575</v>
      </c>
      <c r="G335" s="66">
        <f>IF(C335=3,IF(D335&gt;=8,5,4),IF(C335=2,IF(D335&gt;=7,3,2),1))</f>
      </c>
    </row>
    <row r="336" spans="1:7" x14ac:dyDescent="0.25">
      <c r="A336" s="74">
        <v>334</v>
      </c>
      <c r="B336" s="67" t="s">
        <v>467</v>
      </c>
      <c r="C336" s="20">
        <v>2</v>
      </c>
      <c r="D336" s="23">
        <v>7.28</v>
      </c>
      <c r="E336" s="75">
        <v>43.0392</v>
      </c>
      <c r="F336" s="75">
        <v>-76.1351</v>
      </c>
      <c r="G336" s="69">
        <f>IF(C336=3,IF(D336&gt;=8,5,4),IF(C336=2,IF(D336&gt;=7,3,2),1))</f>
      </c>
    </row>
    <row r="337" spans="1:7" x14ac:dyDescent="0.25">
      <c r="A337" s="72">
        <v>335</v>
      </c>
      <c r="B337" s="64" t="s">
        <v>468</v>
      </c>
      <c r="C337" s="13">
        <v>1</v>
      </c>
      <c r="D337" s="17">
        <v>5.5</v>
      </c>
      <c r="E337" s="73">
        <v>32.2174</v>
      </c>
      <c r="F337" s="73">
        <v>-98.2084</v>
      </c>
      <c r="G337" s="66">
        <f>IF(C337=3,IF(D337&gt;=8,5,4),IF(C337=2,IF(D337&gt;=7,3,2),1))</f>
      </c>
    </row>
    <row r="338" spans="1:7" x14ac:dyDescent="0.25">
      <c r="A338" s="74">
        <v>336</v>
      </c>
      <c r="B338" s="67" t="s">
        <v>469</v>
      </c>
      <c r="C338" s="20">
        <v>3</v>
      </c>
      <c r="D338" s="23">
        <v>8.25</v>
      </c>
      <c r="E338" s="75">
        <v>39.9812</v>
      </c>
      <c r="F338" s="75">
        <v>-75.1554</v>
      </c>
      <c r="G338" s="69">
        <f>IF(C338=3,IF(D338&gt;=8,5,4),IF(C338=2,IF(D338&gt;=7,3,2),1))</f>
      </c>
    </row>
    <row r="339" spans="1:7" x14ac:dyDescent="0.25">
      <c r="A339" s="72">
        <v>337</v>
      </c>
      <c r="B339" s="64" t="s">
        <v>470</v>
      </c>
      <c r="C339" s="13">
        <v>1</v>
      </c>
      <c r="D339" s="17">
        <v>5.5</v>
      </c>
      <c r="E339" s="73">
        <v>36.1685</v>
      </c>
      <c r="F339" s="73">
        <v>-86.832</v>
      </c>
      <c r="G339" s="66">
        <f>IF(C339=3,IF(D339&gt;=8,5,4),IF(C339=2,IF(D339&gt;=7,3,2),1))</f>
      </c>
    </row>
    <row r="340" spans="1:7" x14ac:dyDescent="0.25">
      <c r="A340" s="74">
        <v>338</v>
      </c>
      <c r="B340" s="67" t="s">
        <v>471</v>
      </c>
      <c r="C340" s="20">
        <v>2</v>
      </c>
      <c r="D340" s="23">
        <v>6.38</v>
      </c>
      <c r="E340" s="75">
        <v>30.6187</v>
      </c>
      <c r="F340" s="75">
        <v>-96.3365</v>
      </c>
      <c r="G340" s="69">
        <f>IF(C340=3,IF(D340&gt;=8,5,4),IF(C340=2,IF(D340&gt;=7,3,2),1))</f>
      </c>
    </row>
    <row r="341" spans="1:7" x14ac:dyDescent="0.25">
      <c r="A341" s="72">
        <v>339</v>
      </c>
      <c r="B341" s="64" t="s">
        <v>472</v>
      </c>
      <c r="C341" s="13">
        <v>1</v>
      </c>
      <c r="D341" s="17">
        <v>4.68</v>
      </c>
      <c r="E341" s="73">
        <v>32.7098</v>
      </c>
      <c r="F341" s="73">
        <v>-97.3628</v>
      </c>
      <c r="G341" s="66">
        <f>IF(C341=3,IF(D341&gt;=8,5,4),IF(C341=2,IF(D341&gt;=7,3,2),1))</f>
      </c>
    </row>
    <row r="342" spans="1:7" x14ac:dyDescent="0.25">
      <c r="A342" s="74">
        <v>340</v>
      </c>
      <c r="B342" s="67" t="s">
        <v>473</v>
      </c>
      <c r="C342" s="20">
        <v>2</v>
      </c>
      <c r="D342" s="23">
        <v>7</v>
      </c>
      <c r="E342" s="75">
        <v>29.8884</v>
      </c>
      <c r="F342" s="75">
        <v>-97.9384</v>
      </c>
      <c r="G342" s="69">
        <f>IF(C342=3,IF(D342&gt;=8,5,4),IF(C342=2,IF(D342&gt;=7,3,2),1))</f>
      </c>
    </row>
    <row r="343" spans="1:7" x14ac:dyDescent="0.25">
      <c r="A343" s="72">
        <v>341</v>
      </c>
      <c r="B343" s="64" t="s">
        <v>474</v>
      </c>
      <c r="C343" s="13">
        <v>2</v>
      </c>
      <c r="D343" s="17">
        <v>7.22</v>
      </c>
      <c r="E343" s="73">
        <v>33.5843</v>
      </c>
      <c r="F343" s="73">
        <v>-101.8783</v>
      </c>
      <c r="G343" s="66">
        <f>IF(C343=3,IF(D343&gt;=8,5,4),IF(C343=2,IF(D343&gt;=7,3,2),1))</f>
      </c>
    </row>
    <row r="344" spans="1:7" x14ac:dyDescent="0.25">
      <c r="A344" s="74">
        <v>342</v>
      </c>
      <c r="B344" s="67" t="s">
        <v>475</v>
      </c>
      <c r="C344" s="20">
        <v>1</v>
      </c>
      <c r="D344" s="23">
        <v>5</v>
      </c>
      <c r="E344" s="75">
        <v>32.7979</v>
      </c>
      <c r="F344" s="75">
        <v>-79.958</v>
      </c>
      <c r="G344" s="69">
        <f>IF(C344=3,IF(D344&gt;=8,5,4),IF(C344=2,IF(D344&gt;=7,3,2),1))</f>
      </c>
    </row>
    <row r="345" spans="1:7" x14ac:dyDescent="0.25">
      <c r="A345" s="72">
        <v>343</v>
      </c>
      <c r="B345" s="64" t="s">
        <v>476</v>
      </c>
      <c r="C345" s="13">
        <v>1</v>
      </c>
      <c r="D345" s="17">
        <v>5</v>
      </c>
      <c r="E345" s="73">
        <v>40.268</v>
      </c>
      <c r="F345" s="73">
        <v>-74.7781</v>
      </c>
      <c r="G345" s="66">
        <f>IF(C345=3,IF(D345&gt;=8,5,4),IF(C345=2,IF(D345&gt;=7,3,2),1))</f>
      </c>
    </row>
    <row r="346" spans="1:7" x14ac:dyDescent="0.25">
      <c r="A346" s="74">
        <v>344</v>
      </c>
      <c r="B346" s="67" t="s">
        <v>477</v>
      </c>
      <c r="C346" s="20">
        <v>2</v>
      </c>
      <c r="D346" s="23">
        <v>6</v>
      </c>
      <c r="E346" s="75">
        <v>39.3943</v>
      </c>
      <c r="F346" s="75">
        <v>-76.6111</v>
      </c>
      <c r="G346" s="69">
        <f>IF(C346=3,IF(D346&gt;=8,5,4),IF(C346=2,IF(D346&gt;=7,3,2),1))</f>
      </c>
    </row>
    <row r="347" spans="1:7" x14ac:dyDescent="0.25">
      <c r="A347" s="72">
        <v>345</v>
      </c>
      <c r="B347" s="64" t="s">
        <v>478</v>
      </c>
      <c r="C347" s="13">
        <v>1</v>
      </c>
      <c r="D347" s="17">
        <v>3.43</v>
      </c>
      <c r="E347" s="73">
        <v>38.0537</v>
      </c>
      <c r="F347" s="73">
        <v>-84.4974</v>
      </c>
      <c r="G347" s="66">
        <f>IF(C347=3,IF(D347&gt;=8,5,4),IF(C347=2,IF(D347&gt;=7,3,2),1))</f>
      </c>
    </row>
    <row r="348" spans="1:7" x14ac:dyDescent="0.25">
      <c r="A348" s="74">
        <v>346</v>
      </c>
      <c r="B348" s="67" t="s">
        <v>479</v>
      </c>
      <c r="C348" s="20">
        <v>1</v>
      </c>
      <c r="D348" s="23">
        <v>3.33</v>
      </c>
      <c r="E348" s="75">
        <v>41.7472</v>
      </c>
      <c r="F348" s="75">
        <v>-72.6907</v>
      </c>
      <c r="G348" s="69">
        <f>IF(C348=3,IF(D348&gt;=8,5,4),IF(C348=2,IF(D348&gt;=7,3,2),1))</f>
      </c>
    </row>
    <row r="349" spans="1:7" x14ac:dyDescent="0.25">
      <c r="A349" s="72">
        <v>347</v>
      </c>
      <c r="B349" s="64" t="s">
        <v>480</v>
      </c>
      <c r="C349" s="13">
        <v>1</v>
      </c>
      <c r="D349" s="17">
        <v>4.5</v>
      </c>
      <c r="E349" s="73">
        <v>29.4612</v>
      </c>
      <c r="F349" s="73">
        <v>-98.4836</v>
      </c>
      <c r="G349" s="66">
        <f>IF(C349=3,IF(D349&gt;=8,5,4),IF(C349=2,IF(D349&gt;=7,3,2),1))</f>
      </c>
    </row>
    <row r="350" spans="1:7" x14ac:dyDescent="0.25">
      <c r="A350" s="74">
        <v>348</v>
      </c>
      <c r="B350" s="67" t="s">
        <v>481</v>
      </c>
      <c r="C350" s="20">
        <v>1</v>
      </c>
      <c r="D350" s="23">
        <v>5.5</v>
      </c>
      <c r="E350" s="75">
        <v>31.7985</v>
      </c>
      <c r="F350" s="75">
        <v>-85.9676</v>
      </c>
      <c r="G350" s="69">
        <f>IF(C350=3,IF(D350&gt;=8,5,4),IF(C350=2,IF(D350&gt;=7,3,2),1))</f>
      </c>
    </row>
    <row r="351" spans="1:7" x14ac:dyDescent="0.25">
      <c r="A351" s="72">
        <v>349</v>
      </c>
      <c r="B351" s="64" t="s">
        <v>482</v>
      </c>
      <c r="C351" s="13">
        <v>1</v>
      </c>
      <c r="D351" s="17">
        <v>5</v>
      </c>
      <c r="E351" s="73">
        <v>40.1883</v>
      </c>
      <c r="F351" s="73">
        <v>-92.582</v>
      </c>
      <c r="G351" s="66">
        <f>IF(C351=3,IF(D351&gt;=8,5,4),IF(C351=2,IF(D351&gt;=7,3,2),1))</f>
      </c>
    </row>
    <row r="352" spans="1:7" x14ac:dyDescent="0.25">
      <c r="A352" s="74">
        <v>350</v>
      </c>
      <c r="B352" s="67" t="s">
        <v>483</v>
      </c>
      <c r="C352" s="20">
        <v>1</v>
      </c>
      <c r="D352" s="23">
        <v>4.63</v>
      </c>
      <c r="E352" s="75">
        <v>42.4075</v>
      </c>
      <c r="F352" s="75">
        <v>-71.119</v>
      </c>
      <c r="G352" s="69">
        <f>IF(C352=3,IF(D352&gt;=8,5,4),IF(C352=2,IF(D352&gt;=7,3,2),1))</f>
      </c>
    </row>
    <row r="353" spans="1:7" x14ac:dyDescent="0.25">
      <c r="A353" s="72">
        <v>351</v>
      </c>
      <c r="B353" s="64" t="s">
        <v>484</v>
      </c>
      <c r="C353" s="13">
        <v>2</v>
      </c>
      <c r="D353" s="17">
        <v>6.85</v>
      </c>
      <c r="E353" s="73">
        <v>29.94</v>
      </c>
      <c r="F353" s="73">
        <v>-90.1203</v>
      </c>
      <c r="G353" s="66">
        <f>IF(C353=3,IF(D353&gt;=8,5,4),IF(C353=2,IF(D353&gt;=7,3,2),1))</f>
      </c>
    </row>
    <row r="354" spans="1:7" x14ac:dyDescent="0.25">
      <c r="A354" s="74">
        <v>352</v>
      </c>
      <c r="B354" s="67" t="s">
        <v>485</v>
      </c>
      <c r="C354" s="20">
        <v>2</v>
      </c>
      <c r="D354" s="23">
        <v>7</v>
      </c>
      <c r="E354" s="75">
        <v>29.9401</v>
      </c>
      <c r="F354" s="75">
        <v>-90.1206</v>
      </c>
      <c r="G354" s="69">
        <f>IF(C354=3,IF(D354&gt;=8,5,4),IF(C354=2,IF(D354&gt;=7,3,2),1))</f>
      </c>
    </row>
    <row r="355" spans="1:7" x14ac:dyDescent="0.25">
      <c r="A355" s="72">
        <v>353</v>
      </c>
      <c r="B355" s="64" t="s">
        <v>486</v>
      </c>
      <c r="C355" s="13">
        <v>1</v>
      </c>
      <c r="D355" s="17">
        <v>5</v>
      </c>
      <c r="E355" s="73">
        <v>32.4304</v>
      </c>
      <c r="F355" s="73">
        <v>-85.7075</v>
      </c>
      <c r="G355" s="66">
        <f>IF(C355=3,IF(D355&gt;=8,5,4),IF(C355=2,IF(D355&gt;=7,3,2),1))</f>
      </c>
    </row>
    <row r="356" spans="1:7" x14ac:dyDescent="0.25">
      <c r="A356" s="74">
        <v>354</v>
      </c>
      <c r="B356" s="67" t="s">
        <v>487</v>
      </c>
      <c r="C356" s="20">
        <v>1</v>
      </c>
      <c r="D356" s="23">
        <v>3.35</v>
      </c>
      <c r="E356" s="75">
        <v>42.8171</v>
      </c>
      <c r="F356" s="75">
        <v>-73.9291</v>
      </c>
      <c r="G356" s="69">
        <f>IF(C356=3,IF(D356&gt;=8,5,4),IF(C356=2,IF(D356&gt;=7,3,2),1))</f>
      </c>
    </row>
    <row r="357" spans="1:7" x14ac:dyDescent="0.25">
      <c r="A357" s="72">
        <v>355</v>
      </c>
      <c r="B357" s="64" t="s">
        <v>488</v>
      </c>
      <c r="C357" s="13">
        <v>2</v>
      </c>
      <c r="D357" s="17">
        <v>6.8</v>
      </c>
      <c r="E357" s="73">
        <v>43.0008</v>
      </c>
      <c r="F357" s="73">
        <v>-78.789</v>
      </c>
      <c r="G357" s="66">
        <f>IF(C357=3,IF(D357&gt;=8,5,4),IF(C357=2,IF(D357&gt;=7,3,2),1))</f>
      </c>
    </row>
    <row r="358" spans="1:7" x14ac:dyDescent="0.25">
      <c r="A358" s="74">
        <v>356</v>
      </c>
      <c r="B358" s="67" t="s">
        <v>489</v>
      </c>
      <c r="C358" s="20">
        <v>1</v>
      </c>
      <c r="D358" s="23">
        <v>5.5</v>
      </c>
      <c r="E358" s="75">
        <v>41.0764</v>
      </c>
      <c r="F358" s="75">
        <v>-81.5083</v>
      </c>
      <c r="G358" s="69">
        <f>IF(C358=3,IF(D358&gt;=8,5,4),IF(C358=2,IF(D358&gt;=7,3,2),1))</f>
      </c>
    </row>
    <row r="359" spans="1:7" x14ac:dyDescent="0.25">
      <c r="A359" s="72">
        <v>357</v>
      </c>
      <c r="B359" s="64" t="s">
        <v>490</v>
      </c>
      <c r="C359" s="13">
        <v>3</v>
      </c>
      <c r="D359" s="17">
        <v>7.8</v>
      </c>
      <c r="E359" s="73">
        <v>33.2084</v>
      </c>
      <c r="F359" s="73">
        <v>-87.5503</v>
      </c>
      <c r="G359" s="66">
        <f>IF(C359=3,IF(D359&gt;=8,5,4),IF(C359=2,IF(D359&gt;=7,3,2),1))</f>
      </c>
    </row>
    <row r="360" spans="1:7" x14ac:dyDescent="0.25">
      <c r="A360" s="74">
        <v>358</v>
      </c>
      <c r="B360" s="67" t="s">
        <v>491</v>
      </c>
      <c r="C360" s="20">
        <v>2</v>
      </c>
      <c r="D360" s="23">
        <v>5.8</v>
      </c>
      <c r="E360" s="75">
        <v>33.5021</v>
      </c>
      <c r="F360" s="75">
        <v>-86.8063</v>
      </c>
      <c r="G360" s="69">
        <f>IF(C360=3,IF(D360&gt;=8,5,4),IF(C360=2,IF(D360&gt;=7,3,2),1))</f>
      </c>
    </row>
    <row r="361" spans="1:7" x14ac:dyDescent="0.25">
      <c r="A361" s="72">
        <v>359</v>
      </c>
      <c r="B361" s="64" t="s">
        <v>492</v>
      </c>
      <c r="C361" s="13">
        <v>1</v>
      </c>
      <c r="D361" s="17">
        <v>4.5</v>
      </c>
      <c r="E361" s="73">
        <v>34.7254</v>
      </c>
      <c r="F361" s="73">
        <v>-86.6397</v>
      </c>
      <c r="G361" s="66">
        <f>IF(C361=3,IF(D361&gt;=8,5,4),IF(C361=2,IF(D361&gt;=7,3,2),1))</f>
      </c>
    </row>
    <row r="362" spans="1:7" x14ac:dyDescent="0.25">
      <c r="A362" s="74">
        <v>360</v>
      </c>
      <c r="B362" s="67" t="s">
        <v>493</v>
      </c>
      <c r="C362" s="20">
        <v>1</v>
      </c>
      <c r="D362" s="23">
        <v>4.5</v>
      </c>
      <c r="E362" s="75">
        <v>61.1894</v>
      </c>
      <c r="F362" s="75">
        <v>-149.8214</v>
      </c>
      <c r="G362" s="69">
        <f>IF(C362=3,IF(D362&gt;=8,5,4),IF(C362=2,IF(D362&gt;=7,3,2),1))</f>
      </c>
    </row>
    <row r="363" spans="1:7" x14ac:dyDescent="0.25">
      <c r="A363" s="72">
        <v>361</v>
      </c>
      <c r="B363" s="64" t="s">
        <v>494</v>
      </c>
      <c r="C363" s="13">
        <v>1</v>
      </c>
      <c r="D363" s="17">
        <v>4.5</v>
      </c>
      <c r="E363" s="73">
        <v>64.8581</v>
      </c>
      <c r="F363" s="73">
        <v>-147.838</v>
      </c>
      <c r="G363" s="66">
        <f>IF(C363=3,IF(D363&gt;=8,5,4),IF(C363=2,IF(D363&gt;=7,3,2),1))</f>
      </c>
    </row>
    <row r="364" spans="1:7" x14ac:dyDescent="0.25">
      <c r="A364" s="74">
        <v>362</v>
      </c>
      <c r="B364" s="67" t="s">
        <v>495</v>
      </c>
      <c r="C364" s="20">
        <v>2</v>
      </c>
      <c r="D364" s="23">
        <v>7.1</v>
      </c>
      <c r="E364" s="75">
        <v>32.2319</v>
      </c>
      <c r="F364" s="75">
        <v>-110.9501</v>
      </c>
      <c r="G364" s="69">
        <f>IF(C364=3,IF(D364&gt;=8,5,4),IF(C364=2,IF(D364&gt;=7,3,2),1))</f>
      </c>
    </row>
    <row r="365" spans="1:7" x14ac:dyDescent="0.25">
      <c r="A365" s="72">
        <v>363</v>
      </c>
      <c r="B365" s="64" t="s">
        <v>496</v>
      </c>
      <c r="C365" s="13">
        <v>3</v>
      </c>
      <c r="D365" s="17">
        <v>7.5</v>
      </c>
      <c r="E365" s="73">
        <v>32.2319</v>
      </c>
      <c r="F365" s="73">
        <v>-110.9501</v>
      </c>
      <c r="G365" s="66">
        <f>IF(C365=3,IF(D365&gt;=8,5,4),IF(C365=2,IF(D365&gt;=7,3,2),1))</f>
      </c>
    </row>
    <row r="366" spans="1:7" x14ac:dyDescent="0.25">
      <c r="A366" s="74">
        <v>364</v>
      </c>
      <c r="B366" s="67" t="s">
        <v>497</v>
      </c>
      <c r="C366" s="20">
        <v>2</v>
      </c>
      <c r="D366" s="23">
        <v>6.95</v>
      </c>
      <c r="E366" s="75">
        <v>36.0686</v>
      </c>
      <c r="F366" s="75">
        <v>-94.1748</v>
      </c>
      <c r="G366" s="69">
        <f>IF(C366=3,IF(D366&gt;=8,5,4),IF(C366=2,IF(D366&gt;=7,3,2),1))</f>
      </c>
    </row>
    <row r="367" spans="1:7" x14ac:dyDescent="0.25">
      <c r="A367" s="72">
        <v>365</v>
      </c>
      <c r="B367" s="64" t="s">
        <v>498</v>
      </c>
      <c r="C367" s="13">
        <v>1</v>
      </c>
      <c r="D367" s="17">
        <v>4.5</v>
      </c>
      <c r="E367" s="73">
        <v>41.1731</v>
      </c>
      <c r="F367" s="73">
        <v>-73.1832</v>
      </c>
      <c r="G367" s="66">
        <f>IF(C367=3,IF(D367&gt;=8,5,4),IF(C367=2,IF(D367&gt;=7,3,2),1))</f>
      </c>
    </row>
    <row r="368" spans="1:7" x14ac:dyDescent="0.25">
      <c r="A368" s="74">
        <v>366</v>
      </c>
      <c r="B368" s="67" t="s">
        <v>499</v>
      </c>
      <c r="C368" s="20">
        <v>1</v>
      </c>
      <c r="D368" s="23">
        <v>4.4</v>
      </c>
      <c r="E368" s="75">
        <v>37.8719</v>
      </c>
      <c r="F368" s="75">
        <v>-122.2585</v>
      </c>
      <c r="G368" s="69">
        <f>IF(C368=3,IF(D368&gt;=8,5,4),IF(C368=2,IF(D368&gt;=7,3,2),1))</f>
      </c>
    </row>
    <row r="369" spans="1:7" x14ac:dyDescent="0.25">
      <c r="A369" s="72">
        <v>367</v>
      </c>
      <c r="B369" s="64" t="s">
        <v>500</v>
      </c>
      <c r="C369" s="13">
        <v>1</v>
      </c>
      <c r="D369" s="17">
        <v>4.35</v>
      </c>
      <c r="E369" s="73">
        <v>38.5382</v>
      </c>
      <c r="F369" s="73">
        <v>-121.7617</v>
      </c>
      <c r="G369" s="66">
        <f>IF(C369=3,IF(D369&gt;=8,5,4),IF(C369=2,IF(D369&gt;=7,3,2),1))</f>
      </c>
    </row>
    <row r="370" spans="1:7" x14ac:dyDescent="0.25">
      <c r="A370" s="74">
        <v>368</v>
      </c>
      <c r="B370" s="67" t="s">
        <v>501</v>
      </c>
      <c r="C370" s="20">
        <v>1</v>
      </c>
      <c r="D370" s="23">
        <v>4.33</v>
      </c>
      <c r="E370" s="75">
        <v>33.6405</v>
      </c>
      <c r="F370" s="75">
        <v>-117.8443</v>
      </c>
      <c r="G370" s="69">
        <f>IF(C370=3,IF(D370&gt;=8,5,4),IF(C370=2,IF(D370&gt;=7,3,2),1))</f>
      </c>
    </row>
    <row r="371" spans="1:7" x14ac:dyDescent="0.25">
      <c r="A371" s="72">
        <v>369</v>
      </c>
      <c r="B371" s="64" t="s">
        <v>502</v>
      </c>
      <c r="C371" s="13">
        <v>2</v>
      </c>
      <c r="D371" s="17">
        <v>5.85</v>
      </c>
      <c r="E371" s="73">
        <v>34.0689</v>
      </c>
      <c r="F371" s="73">
        <v>-118.4452</v>
      </c>
      <c r="G371" s="66">
        <f>IF(C371=3,IF(D371&gt;=8,5,4),IF(C371=2,IF(D371&gt;=7,3,2),1))</f>
      </c>
    </row>
    <row r="372" spans="1:7" x14ac:dyDescent="0.25">
      <c r="A372" s="74">
        <v>370</v>
      </c>
      <c r="B372" s="67" t="s">
        <v>503</v>
      </c>
      <c r="C372" s="20">
        <v>1</v>
      </c>
      <c r="D372" s="23">
        <v>4.5</v>
      </c>
      <c r="E372" s="75">
        <v>37.366</v>
      </c>
      <c r="F372" s="75">
        <v>-120.4248</v>
      </c>
      <c r="G372" s="69">
        <f>IF(C372=3,IF(D372&gt;=8,5,4),IF(C372=2,IF(D372&gt;=7,3,2),1))</f>
      </c>
    </row>
    <row r="373" spans="1:7" x14ac:dyDescent="0.25">
      <c r="A373" s="72">
        <v>371</v>
      </c>
      <c r="B373" s="64" t="s">
        <v>504</v>
      </c>
      <c r="C373" s="13">
        <v>2</v>
      </c>
      <c r="D373" s="17">
        <v>5.5</v>
      </c>
      <c r="E373" s="73">
        <v>33.9737</v>
      </c>
      <c r="F373" s="73">
        <v>-117.3281</v>
      </c>
      <c r="G373" s="66">
        <f>IF(C373=3,IF(D373&gt;=8,5,4),IF(C373=2,IF(D373&gt;=7,3,2),1))</f>
      </c>
    </row>
    <row r="374" spans="1:7" x14ac:dyDescent="0.25">
      <c r="A374" s="74">
        <v>372</v>
      </c>
      <c r="B374" s="67" t="s">
        <v>505</v>
      </c>
      <c r="C374" s="20">
        <v>1</v>
      </c>
      <c r="D374" s="23">
        <v>4.38</v>
      </c>
      <c r="E374" s="75">
        <v>32.8801</v>
      </c>
      <c r="F374" s="75">
        <v>-117.234</v>
      </c>
      <c r="G374" s="69">
        <f>IF(C374=3,IF(D374&gt;=8,5,4),IF(C374=2,IF(D374&gt;=7,3,2),1))</f>
      </c>
    </row>
    <row r="375" spans="1:7" x14ac:dyDescent="0.25">
      <c r="A375" s="72">
        <v>373</v>
      </c>
      <c r="B375" s="64" t="s">
        <v>506</v>
      </c>
      <c r="C375" s="13">
        <v>2</v>
      </c>
      <c r="D375" s="17">
        <v>6.25</v>
      </c>
      <c r="E375" s="73">
        <v>34.4133</v>
      </c>
      <c r="F375" s="73">
        <v>-119.861</v>
      </c>
      <c r="G375" s="66">
        <f>IF(C375=3,IF(D375&gt;=8,5,4),IF(C375=2,IF(D375&gt;=7,3,2),1))</f>
      </c>
    </row>
    <row r="376" spans="1:7" x14ac:dyDescent="0.25">
      <c r="A376" s="74">
        <v>374</v>
      </c>
      <c r="B376" s="67" t="s">
        <v>507</v>
      </c>
      <c r="C376" s="20">
        <v>2</v>
      </c>
      <c r="D376" s="23">
        <v>5.8</v>
      </c>
      <c r="E376" s="75">
        <v>36.9914</v>
      </c>
      <c r="F376" s="75">
        <v>-122.0609</v>
      </c>
      <c r="G376" s="69">
        <f>IF(C376=3,IF(D376&gt;=8,5,4),IF(C376=2,IF(D376&gt;=7,3,2),1))</f>
      </c>
    </row>
    <row r="377" spans="1:7" x14ac:dyDescent="0.25">
      <c r="A377" s="72">
        <v>375</v>
      </c>
      <c r="B377" s="64" t="s">
        <v>508</v>
      </c>
      <c r="C377" s="13">
        <v>1</v>
      </c>
      <c r="D377" s="17">
        <v>5.5</v>
      </c>
      <c r="E377" s="73">
        <v>35.0756</v>
      </c>
      <c r="F377" s="73">
        <v>-92.4473</v>
      </c>
      <c r="G377" s="66">
        <f>IF(C377=3,IF(D377&gt;=8,5,4),IF(C377=2,IF(D377&gt;=7,3,2),1))</f>
      </c>
    </row>
    <row r="378" spans="1:7" x14ac:dyDescent="0.25">
      <c r="A378" s="74">
        <v>376</v>
      </c>
      <c r="B378" s="67" t="s">
        <v>509</v>
      </c>
      <c r="C378" s="20">
        <v>2</v>
      </c>
      <c r="D378" s="23">
        <v>6.48</v>
      </c>
      <c r="E378" s="75">
        <v>28.6024</v>
      </c>
      <c r="F378" s="75">
        <v>-81.2001</v>
      </c>
      <c r="G378" s="69">
        <f>IF(C378=3,IF(D378&gt;=8,5,4),IF(C378=2,IF(D378&gt;=7,3,2),1))</f>
      </c>
    </row>
    <row r="379" spans="1:7" x14ac:dyDescent="0.25">
      <c r="A379" s="72">
        <v>377</v>
      </c>
      <c r="B379" s="64" t="s">
        <v>510</v>
      </c>
      <c r="C379" s="13">
        <v>1</v>
      </c>
      <c r="D379" s="17">
        <v>4.28</v>
      </c>
      <c r="E379" s="73">
        <v>41.7886</v>
      </c>
      <c r="F379" s="73">
        <v>-87.5987</v>
      </c>
      <c r="G379" s="66">
        <f>IF(C379=3,IF(D379&gt;=8,5,4),IF(C379=2,IF(D379&gt;=7,3,2),1))</f>
      </c>
    </row>
    <row r="380" spans="1:7" x14ac:dyDescent="0.25">
      <c r="A380" s="74">
        <v>378</v>
      </c>
      <c r="B380" s="67" t="s">
        <v>511</v>
      </c>
      <c r="C380" s="20">
        <v>2</v>
      </c>
      <c r="D380" s="23">
        <v>6.5</v>
      </c>
      <c r="E380" s="75">
        <v>39.1329</v>
      </c>
      <c r="F380" s="75">
        <v>-84.515</v>
      </c>
      <c r="G380" s="69">
        <f>IF(C380=3,IF(D380&gt;=8,5,4),IF(C380=2,IF(D380&gt;=7,3,2),1))</f>
      </c>
    </row>
    <row r="381" spans="1:7" x14ac:dyDescent="0.25">
      <c r="A381" s="72">
        <v>379</v>
      </c>
      <c r="B381" s="64" t="s">
        <v>512</v>
      </c>
      <c r="C381" s="13">
        <v>2</v>
      </c>
      <c r="D381" s="17">
        <v>7.35</v>
      </c>
      <c r="E381" s="73">
        <v>40.0076</v>
      </c>
      <c r="F381" s="73">
        <v>-105.2659</v>
      </c>
      <c r="G381" s="66">
        <f>IF(C381=3,IF(D381&gt;=8,5,4),IF(C381=2,IF(D381&gt;=7,3,2),1))</f>
      </c>
    </row>
    <row r="382" spans="1:7" x14ac:dyDescent="0.25">
      <c r="A382" s="74">
        <v>380</v>
      </c>
      <c r="B382" s="67" t="s">
        <v>513</v>
      </c>
      <c r="C382" s="20">
        <v>1</v>
      </c>
      <c r="D382" s="23">
        <v>5</v>
      </c>
      <c r="E382" s="75">
        <v>38.8939</v>
      </c>
      <c r="F382" s="75">
        <v>-104.8004</v>
      </c>
      <c r="G382" s="69">
        <f>IF(C382=3,IF(D382&gt;=8,5,4),IF(C382=2,IF(D382&gt;=7,3,2),1))</f>
      </c>
    </row>
    <row r="383" spans="1:7" x14ac:dyDescent="0.25">
      <c r="A383" s="72">
        <v>381</v>
      </c>
      <c r="B383" s="64" t="s">
        <v>514</v>
      </c>
      <c r="C383" s="13">
        <v>2</v>
      </c>
      <c r="D383" s="17">
        <v>5</v>
      </c>
      <c r="E383" s="73">
        <v>39.7455</v>
      </c>
      <c r="F383" s="73">
        <v>-105.0082</v>
      </c>
      <c r="G383" s="66">
        <f>IF(C383=3,IF(D383&gt;=8,5,4),IF(C383=2,IF(D383&gt;=7,3,2),1))</f>
      </c>
    </row>
    <row r="384" spans="1:7" x14ac:dyDescent="0.25">
      <c r="A384" s="74">
        <v>382</v>
      </c>
      <c r="B384" s="67" t="s">
        <v>515</v>
      </c>
      <c r="C384" s="20">
        <v>2</v>
      </c>
      <c r="D384" s="23">
        <v>6.9</v>
      </c>
      <c r="E384" s="75">
        <v>41.8077</v>
      </c>
      <c r="F384" s="75">
        <v>-72.254</v>
      </c>
      <c r="G384" s="69">
        <f>IF(C384=3,IF(D384&gt;=8,5,4),IF(C384=2,IF(D384&gt;=7,3,2),1))</f>
      </c>
    </row>
    <row r="385" spans="1:7" x14ac:dyDescent="0.25">
      <c r="A385" s="72">
        <v>383</v>
      </c>
      <c r="B385" s="64" t="s">
        <v>516</v>
      </c>
      <c r="C385" s="13">
        <v>2</v>
      </c>
      <c r="D385" s="17">
        <v>5.65</v>
      </c>
      <c r="E385" s="73">
        <v>39.7394</v>
      </c>
      <c r="F385" s="73">
        <v>-84.1796</v>
      </c>
      <c r="G385" s="66">
        <f>IF(C385=3,IF(D385&gt;=8,5,4),IF(C385=2,IF(D385&gt;=7,3,2),1))</f>
      </c>
    </row>
    <row r="386" spans="1:7" x14ac:dyDescent="0.25">
      <c r="A386" s="74">
        <v>384</v>
      </c>
      <c r="B386" s="67" t="s">
        <v>517</v>
      </c>
      <c r="C386" s="20">
        <v>2</v>
      </c>
      <c r="D386" s="23">
        <v>6.88</v>
      </c>
      <c r="E386" s="75">
        <v>39.6837</v>
      </c>
      <c r="F386" s="75">
        <v>-75.7497</v>
      </c>
      <c r="G386" s="69">
        <f>IF(C386=3,IF(D386&gt;=8,5,4),IF(C386=2,IF(D386&gt;=7,3,2),1))</f>
      </c>
    </row>
    <row r="387" spans="1:7" x14ac:dyDescent="0.25">
      <c r="A387" s="72">
        <v>385</v>
      </c>
      <c r="B387" s="64" t="s">
        <v>518</v>
      </c>
      <c r="C387" s="13">
        <v>1</v>
      </c>
      <c r="D387" s="17">
        <v>4.88</v>
      </c>
      <c r="E387" s="73">
        <v>39.6772</v>
      </c>
      <c r="F387" s="73">
        <v>-104.9613</v>
      </c>
      <c r="G387" s="66">
        <f>IF(C387=3,IF(D387&gt;=8,5,4),IF(C387=2,IF(D387&gt;=7,3,2),1))</f>
      </c>
    </row>
    <row r="388" spans="1:7" x14ac:dyDescent="0.25">
      <c r="A388" s="74">
        <v>386</v>
      </c>
      <c r="B388" s="67" t="s">
        <v>519</v>
      </c>
      <c r="C388" s="20">
        <v>1</v>
      </c>
      <c r="D388" s="23">
        <v>4.5</v>
      </c>
      <c r="E388" s="75">
        <v>37.9718</v>
      </c>
      <c r="F388" s="75">
        <v>-87.5309</v>
      </c>
      <c r="G388" s="69">
        <f>IF(C388=3,IF(D388&gt;=8,5,4),IF(C388=2,IF(D388&gt;=7,3,2),1))</f>
      </c>
    </row>
    <row r="389" spans="1:7" x14ac:dyDescent="0.25">
      <c r="A389" s="72">
        <v>387</v>
      </c>
      <c r="B389" s="64" t="s">
        <v>520</v>
      </c>
      <c r="C389" s="13">
        <v>3</v>
      </c>
      <c r="D389" s="17">
        <v>7.6</v>
      </c>
      <c r="E389" s="73">
        <v>29.6436</v>
      </c>
      <c r="F389" s="73">
        <v>-82.3549</v>
      </c>
      <c r="G389" s="66">
        <f>IF(C389=3,IF(D389&gt;=8,5,4),IF(C389=2,IF(D389&gt;=7,3,2),1))</f>
      </c>
    </row>
    <row r="390" spans="1:7" x14ac:dyDescent="0.25">
      <c r="A390" s="74">
        <v>388</v>
      </c>
      <c r="B390" s="67" t="s">
        <v>521</v>
      </c>
      <c r="C390" s="20">
        <v>3</v>
      </c>
      <c r="D390" s="23">
        <v>7.7</v>
      </c>
      <c r="E390" s="75">
        <v>33.948</v>
      </c>
      <c r="F390" s="75">
        <v>-83.3773</v>
      </c>
      <c r="G390" s="69">
        <f>IF(C390=3,IF(D390&gt;=8,5,4),IF(C390=2,IF(D390&gt;=7,3,2),1))</f>
      </c>
    </row>
    <row r="391" spans="1:7" x14ac:dyDescent="0.25">
      <c r="A391" s="72">
        <v>389</v>
      </c>
      <c r="B391" s="64" t="s">
        <v>522</v>
      </c>
      <c r="C391" s="13">
        <v>3</v>
      </c>
      <c r="D391" s="17">
        <v>7.8</v>
      </c>
      <c r="E391" s="73">
        <v>33.948</v>
      </c>
      <c r="F391" s="73">
        <v>-83.3773</v>
      </c>
      <c r="G391" s="66">
        <f>IF(C391=3,IF(D391&gt;=8,5,4),IF(C391=2,IF(D391&gt;=7,3,2),1))</f>
      </c>
    </row>
    <row r="392" spans="1:7" x14ac:dyDescent="0.25">
      <c r="A392" s="74">
        <v>390</v>
      </c>
      <c r="B392" s="67" t="s">
        <v>523</v>
      </c>
      <c r="C392" s="20">
        <v>1</v>
      </c>
      <c r="D392" s="23">
        <v>5</v>
      </c>
      <c r="E392" s="75">
        <v>41.8003</v>
      </c>
      <c r="F392" s="75">
        <v>-72.73</v>
      </c>
      <c r="G392" s="69">
        <f>IF(C392=3,IF(D392&gt;=8,5,4),IF(C392=2,IF(D392&gt;=7,3,2),1))</f>
      </c>
    </row>
    <row r="393" spans="1:7" x14ac:dyDescent="0.25">
      <c r="A393" s="72">
        <v>391</v>
      </c>
      <c r="B393" s="64" t="s">
        <v>524</v>
      </c>
      <c r="C393" s="13">
        <v>1</v>
      </c>
      <c r="D393" s="17">
        <v>4.5</v>
      </c>
      <c r="E393" s="73">
        <v>19.701</v>
      </c>
      <c r="F393" s="73">
        <v>-155.0783</v>
      </c>
      <c r="G393" s="66">
        <f>IF(C393=3,IF(D393&gt;=8,5,4),IF(C393=2,IF(D393&gt;=7,3,2),1))</f>
      </c>
    </row>
    <row r="394" spans="1:7" x14ac:dyDescent="0.25">
      <c r="A394" s="74">
        <v>392</v>
      </c>
      <c r="B394" s="67" t="s">
        <v>525</v>
      </c>
      <c r="C394" s="20">
        <v>2</v>
      </c>
      <c r="D394" s="23">
        <v>6.15</v>
      </c>
      <c r="E394" s="75">
        <v>21.297</v>
      </c>
      <c r="F394" s="75">
        <v>-157.817</v>
      </c>
      <c r="G394" s="69">
        <f>IF(C394=3,IF(D394&gt;=8,5,4),IF(C394=2,IF(D394&gt;=7,3,2),1))</f>
      </c>
    </row>
    <row r="395" spans="1:7" x14ac:dyDescent="0.25">
      <c r="A395" s="72">
        <v>393</v>
      </c>
      <c r="B395" s="64" t="s">
        <v>526</v>
      </c>
      <c r="C395" s="13">
        <v>2</v>
      </c>
      <c r="D395" s="17">
        <v>6</v>
      </c>
      <c r="E395" s="73">
        <v>29.7199</v>
      </c>
      <c r="F395" s="73">
        <v>-95.3422</v>
      </c>
      <c r="G395" s="66">
        <f>IF(C395=3,IF(D395&gt;=8,5,4),IF(C395=2,IF(D395&gt;=7,3,2),1))</f>
      </c>
    </row>
    <row r="396" spans="1:7" x14ac:dyDescent="0.25">
      <c r="A396" s="74">
        <v>394</v>
      </c>
      <c r="B396" s="67" t="s">
        <v>527</v>
      </c>
      <c r="C396" s="20">
        <v>2</v>
      </c>
      <c r="D396" s="23">
        <v>5.2</v>
      </c>
      <c r="E396" s="75">
        <v>46.726</v>
      </c>
      <c r="F396" s="75">
        <v>-117.0145</v>
      </c>
      <c r="G396" s="69">
        <f>IF(C396=3,IF(D396&gt;=8,5,4),IF(C396=2,IF(D396&gt;=7,3,2),1))</f>
      </c>
    </row>
    <row r="397" spans="1:7" x14ac:dyDescent="0.25">
      <c r="A397" s="72">
        <v>395</v>
      </c>
      <c r="B397" s="64" t="s">
        <v>528</v>
      </c>
      <c r="C397" s="13">
        <v>2</v>
      </c>
      <c r="D397" s="17">
        <v>5</v>
      </c>
      <c r="E397" s="73">
        <v>41.8714</v>
      </c>
      <c r="F397" s="73">
        <v>-87.649</v>
      </c>
      <c r="G397" s="66">
        <f>IF(C397=3,IF(D397&gt;=8,5,4),IF(C397=2,IF(D397&gt;=7,3,2),1))</f>
      </c>
    </row>
    <row r="398" spans="1:7" x14ac:dyDescent="0.25">
      <c r="A398" s="74">
        <v>396</v>
      </c>
      <c r="B398" s="67" t="s">
        <v>529</v>
      </c>
      <c r="C398" s="20">
        <v>2</v>
      </c>
      <c r="D398" s="23">
        <v>6.35</v>
      </c>
      <c r="E398" s="75">
        <v>40.102</v>
      </c>
      <c r="F398" s="75">
        <v>-88.2272</v>
      </c>
      <c r="G398" s="69">
        <f>IF(C398=3,IF(D398&gt;=8,5,4),IF(C398=2,IF(D398&gt;=7,3,2),1))</f>
      </c>
    </row>
    <row r="399" spans="1:7" x14ac:dyDescent="0.25">
      <c r="A399" s="72">
        <v>397</v>
      </c>
      <c r="B399" s="64" t="s">
        <v>530</v>
      </c>
      <c r="C399" s="13">
        <v>3</v>
      </c>
      <c r="D399" s="17">
        <v>7.5</v>
      </c>
      <c r="E399" s="73">
        <v>41.6611</v>
      </c>
      <c r="F399" s="73">
        <v>-91.5302</v>
      </c>
      <c r="G399" s="66">
        <f>IF(C399=3,IF(D399&gt;=8,5,4),IF(C399=2,IF(D399&gt;=7,3,2),1))</f>
      </c>
    </row>
    <row r="400" spans="1:7" x14ac:dyDescent="0.25">
      <c r="A400" s="74">
        <v>398</v>
      </c>
      <c r="B400" s="67" t="s">
        <v>531</v>
      </c>
      <c r="C400" s="20">
        <v>2</v>
      </c>
      <c r="D400" s="23">
        <v>7.05</v>
      </c>
      <c r="E400" s="75">
        <v>38.9543</v>
      </c>
      <c r="F400" s="75">
        <v>-95.2558</v>
      </c>
      <c r="G400" s="69">
        <f>IF(C400=3,IF(D400&gt;=8,5,4),IF(C400=2,IF(D400&gt;=7,3,2),1))</f>
      </c>
    </row>
    <row r="401" spans="1:7" x14ac:dyDescent="0.25">
      <c r="A401" s="72">
        <v>399</v>
      </c>
      <c r="B401" s="64" t="s">
        <v>532</v>
      </c>
      <c r="C401" s="13">
        <v>2</v>
      </c>
      <c r="D401" s="17">
        <v>7.15</v>
      </c>
      <c r="E401" s="73">
        <v>38.0317</v>
      </c>
      <c r="F401" s="73">
        <v>-84.504</v>
      </c>
      <c r="G401" s="66">
        <f>IF(C401=3,IF(D401&gt;=8,5,4),IF(C401=2,IF(D401&gt;=7,3,2),1))</f>
      </c>
    </row>
    <row r="402" spans="1:7" x14ac:dyDescent="0.25">
      <c r="A402" s="74">
        <v>400</v>
      </c>
      <c r="B402" s="67" t="s">
        <v>533</v>
      </c>
      <c r="C402" s="20">
        <v>2</v>
      </c>
      <c r="D402" s="23">
        <v>6.5</v>
      </c>
      <c r="E402" s="75">
        <v>30.2117</v>
      </c>
      <c r="F402" s="75">
        <v>-92.0198</v>
      </c>
      <c r="G402" s="69">
        <f>IF(C402=3,IF(D402&gt;=8,5,4),IF(C402=2,IF(D402&gt;=7,3,2),1))</f>
      </c>
    </row>
    <row r="403" spans="1:7" x14ac:dyDescent="0.25">
      <c r="A403" s="72">
        <v>401</v>
      </c>
      <c r="B403" s="64" t="s">
        <v>534</v>
      </c>
      <c r="C403" s="13">
        <v>1</v>
      </c>
      <c r="D403" s="17">
        <v>5.5</v>
      </c>
      <c r="E403" s="73">
        <v>32.5287</v>
      </c>
      <c r="F403" s="73">
        <v>-92.0682</v>
      </c>
      <c r="G403" s="66">
        <f>IF(C403=3,IF(D403&gt;=8,5,4),IF(C403=2,IF(D403&gt;=7,3,2),1))</f>
      </c>
    </row>
    <row r="404" spans="1:7" x14ac:dyDescent="0.25">
      <c r="A404" s="74">
        <v>402</v>
      </c>
      <c r="B404" s="67" t="s">
        <v>535</v>
      </c>
      <c r="C404" s="20">
        <v>2</v>
      </c>
      <c r="D404" s="23">
        <v>6.08</v>
      </c>
      <c r="E404" s="75">
        <v>38.2116</v>
      </c>
      <c r="F404" s="75">
        <v>-85.7588</v>
      </c>
      <c r="G404" s="69">
        <f>IF(C404=3,IF(D404&gt;=8,5,4),IF(C404=2,IF(D404&gt;=7,3,2),1))</f>
      </c>
    </row>
    <row r="405" spans="1:7" x14ac:dyDescent="0.25">
      <c r="A405" s="72">
        <v>403</v>
      </c>
      <c r="B405" s="64" t="s">
        <v>536</v>
      </c>
      <c r="C405" s="13">
        <v>2</v>
      </c>
      <c r="D405" s="17">
        <v>5.1</v>
      </c>
      <c r="E405" s="73">
        <v>44.8986</v>
      </c>
      <c r="F405" s="73">
        <v>-68.6719</v>
      </c>
      <c r="G405" s="66">
        <f>IF(C405=3,IF(D405&gt;=8,5,4),IF(C405=2,IF(D405&gt;=7,3,2),1))</f>
      </c>
    </row>
    <row r="406" spans="1:7" x14ac:dyDescent="0.25">
      <c r="A406" s="74">
        <v>404</v>
      </c>
      <c r="B406" s="67" t="s">
        <v>537</v>
      </c>
      <c r="C406" s="20">
        <v>1</v>
      </c>
      <c r="D406" s="23">
        <v>5</v>
      </c>
      <c r="E406" s="75">
        <v>38.3019</v>
      </c>
      <c r="F406" s="75">
        <v>-77.471</v>
      </c>
      <c r="G406" s="69">
        <f>IF(C406=3,IF(D406&gt;=8,5,4),IF(C406=2,IF(D406&gt;=7,3,2),1))</f>
      </c>
    </row>
    <row r="407" spans="1:7" x14ac:dyDescent="0.25">
      <c r="A407" s="72">
        <v>405</v>
      </c>
      <c r="B407" s="64" t="s">
        <v>538</v>
      </c>
      <c r="C407" s="13">
        <v>2</v>
      </c>
      <c r="D407" s="17">
        <v>7.08</v>
      </c>
      <c r="E407" s="73">
        <v>38.9869</v>
      </c>
      <c r="F407" s="73">
        <v>-76.9426</v>
      </c>
      <c r="G407" s="66">
        <f>IF(C407=3,IF(D407&gt;=8,5,4),IF(C407=2,IF(D407&gt;=7,3,2),1))</f>
      </c>
    </row>
    <row r="408" spans="1:7" x14ac:dyDescent="0.25">
      <c r="A408" s="74">
        <v>406</v>
      </c>
      <c r="B408" s="67" t="s">
        <v>539</v>
      </c>
      <c r="C408" s="20">
        <v>1</v>
      </c>
      <c r="D408" s="23">
        <v>4.5</v>
      </c>
      <c r="E408" s="75">
        <v>39.2554</v>
      </c>
      <c r="F408" s="75">
        <v>-76.7131</v>
      </c>
      <c r="G408" s="69">
        <f>IF(C408=3,IF(D408&gt;=8,5,4),IF(C408=2,IF(D408&gt;=7,3,2),1))</f>
      </c>
    </row>
    <row r="409" spans="1:7" x14ac:dyDescent="0.25">
      <c r="A409" s="72">
        <v>407</v>
      </c>
      <c r="B409" s="64" t="s">
        <v>540</v>
      </c>
      <c r="C409" s="13">
        <v>2</v>
      </c>
      <c r="D409" s="17">
        <v>6.23</v>
      </c>
      <c r="E409" s="73">
        <v>42.3868</v>
      </c>
      <c r="F409" s="73">
        <v>-72.5301</v>
      </c>
      <c r="G409" s="66">
        <f>IF(C409=3,IF(D409&gt;=8,5,4),IF(C409=2,IF(D409&gt;=7,3,2),1))</f>
      </c>
    </row>
    <row r="410" spans="1:7" x14ac:dyDescent="0.25">
      <c r="A410" s="74">
        <v>408</v>
      </c>
      <c r="B410" s="67" t="s">
        <v>541</v>
      </c>
      <c r="C410" s="20">
        <v>1</v>
      </c>
      <c r="D410" s="23">
        <v>4.5</v>
      </c>
      <c r="E410" s="75">
        <v>42.3132</v>
      </c>
      <c r="F410" s="75">
        <v>-71.0376</v>
      </c>
      <c r="G410" s="69">
        <f>IF(C410=3,IF(D410&gt;=8,5,4),IF(C410=2,IF(D410&gt;=7,3,2),1))</f>
      </c>
    </row>
    <row r="411" spans="1:7" x14ac:dyDescent="0.25">
      <c r="A411" s="72">
        <v>409</v>
      </c>
      <c r="B411" s="64" t="s">
        <v>542</v>
      </c>
      <c r="C411" s="13">
        <v>1</v>
      </c>
      <c r="D411" s="17">
        <v>5.5</v>
      </c>
      <c r="E411" s="73">
        <v>41.632</v>
      </c>
      <c r="F411" s="73">
        <v>-70.9979</v>
      </c>
      <c r="G411" s="66">
        <f>IF(C411=3,IF(D411&gt;=8,5,4),IF(C411=2,IF(D411&gt;=7,3,2),1))</f>
      </c>
    </row>
    <row r="412" spans="1:7" x14ac:dyDescent="0.25">
      <c r="A412" s="74">
        <v>410</v>
      </c>
      <c r="B412" s="67" t="s">
        <v>543</v>
      </c>
      <c r="C412" s="20">
        <v>1</v>
      </c>
      <c r="D412" s="23">
        <v>5</v>
      </c>
      <c r="E412" s="75">
        <v>42.6535</v>
      </c>
      <c r="F412" s="75">
        <v>-71.3245</v>
      </c>
      <c r="G412" s="69">
        <f>IF(C412=3,IF(D412&gt;=8,5,4),IF(C412=2,IF(D412&gt;=7,3,2),1))</f>
      </c>
    </row>
    <row r="413" spans="1:7" x14ac:dyDescent="0.25">
      <c r="A413" s="72">
        <v>411</v>
      </c>
      <c r="B413" s="64" t="s">
        <v>544</v>
      </c>
      <c r="C413" s="13">
        <v>2</v>
      </c>
      <c r="D413" s="17">
        <v>6</v>
      </c>
      <c r="E413" s="73">
        <v>35.1191</v>
      </c>
      <c r="F413" s="73">
        <v>-89.9375</v>
      </c>
      <c r="G413" s="66">
        <f>IF(C413=3,IF(D413&gt;=8,5,4),IF(C413=2,IF(D413&gt;=7,3,2),1))</f>
      </c>
    </row>
    <row r="414" spans="1:7" x14ac:dyDescent="0.25">
      <c r="A414" s="74">
        <v>412</v>
      </c>
      <c r="B414" s="67" t="s">
        <v>545</v>
      </c>
      <c r="C414" s="20">
        <v>2</v>
      </c>
      <c r="D414" s="23">
        <v>6.75</v>
      </c>
      <c r="E414" s="75">
        <v>25.7178</v>
      </c>
      <c r="F414" s="75">
        <v>-80.279</v>
      </c>
      <c r="G414" s="69">
        <f>IF(C414=3,IF(D414&gt;=8,5,4),IF(C414=2,IF(D414&gt;=7,3,2),1))</f>
      </c>
    </row>
    <row r="415" spans="1:7" x14ac:dyDescent="0.25">
      <c r="A415" s="72">
        <v>413</v>
      </c>
      <c r="B415" s="64" t="s">
        <v>546</v>
      </c>
      <c r="C415" s="13">
        <v>2</v>
      </c>
      <c r="D415" s="17">
        <v>6.8</v>
      </c>
      <c r="E415" s="73">
        <v>25.7175</v>
      </c>
      <c r="F415" s="73">
        <v>-80.279</v>
      </c>
      <c r="G415" s="66">
        <f>IF(C415=3,IF(D415&gt;=8,5,4),IF(C415=2,IF(D415&gt;=7,3,2),1))</f>
      </c>
    </row>
    <row r="416" spans="1:7" x14ac:dyDescent="0.25">
      <c r="A416" s="74">
        <v>414</v>
      </c>
      <c r="B416" s="67" t="s">
        <v>547</v>
      </c>
      <c r="C416" s="20">
        <v>3</v>
      </c>
      <c r="D416" s="23">
        <v>8.13</v>
      </c>
      <c r="E416" s="75">
        <v>42.278</v>
      </c>
      <c r="F416" s="75">
        <v>-83.7382</v>
      </c>
      <c r="G416" s="69">
        <f>IF(C416=3,IF(D416&gt;=8,5,4),IF(C416=2,IF(D416&gt;=7,3,2),1))</f>
      </c>
    </row>
    <row r="417" spans="1:7" x14ac:dyDescent="0.25">
      <c r="A417" s="72">
        <v>415</v>
      </c>
      <c r="B417" s="64" t="s">
        <v>548</v>
      </c>
      <c r="C417" s="13">
        <v>2</v>
      </c>
      <c r="D417" s="17">
        <v>6.68</v>
      </c>
      <c r="E417" s="73">
        <v>44.974</v>
      </c>
      <c r="F417" s="73">
        <v>-93.2277</v>
      </c>
      <c r="G417" s="66">
        <f>IF(C417=3,IF(D417&gt;=8,5,4),IF(C417=2,IF(D417&gt;=7,3,2),1))</f>
      </c>
    </row>
    <row r="418" spans="1:7" x14ac:dyDescent="0.25">
      <c r="A418" s="74">
        <v>416</v>
      </c>
      <c r="B418" s="67" t="s">
        <v>549</v>
      </c>
      <c r="C418" s="20">
        <v>1</v>
      </c>
      <c r="D418" s="23">
        <v>6</v>
      </c>
      <c r="E418" s="75">
        <v>46.8205</v>
      </c>
      <c r="F418" s="75">
        <v>-92.0867</v>
      </c>
      <c r="G418" s="69">
        <f>IF(C418=3,IF(D418&gt;=8,5,4),IF(C418=2,IF(D418&gt;=7,3,2),1))</f>
      </c>
    </row>
    <row r="419" spans="1:7" x14ac:dyDescent="0.25">
      <c r="A419" s="72">
        <v>417</v>
      </c>
      <c r="B419" s="64" t="s">
        <v>550</v>
      </c>
      <c r="C419" s="13">
        <v>2</v>
      </c>
      <c r="D419" s="17">
        <v>7.2</v>
      </c>
      <c r="E419" s="73">
        <v>34.3647</v>
      </c>
      <c r="F419" s="73">
        <v>-89.5386</v>
      </c>
      <c r="G419" s="66">
        <f>IF(C419=3,IF(D419&gt;=8,5,4),IF(C419=2,IF(D419&gt;=7,3,2),1))</f>
      </c>
    </row>
    <row r="420" spans="1:7" x14ac:dyDescent="0.25">
      <c r="A420" s="74">
        <v>418</v>
      </c>
      <c r="B420" s="67" t="s">
        <v>551</v>
      </c>
      <c r="C420" s="20">
        <v>2</v>
      </c>
      <c r="D420" s="23">
        <v>7</v>
      </c>
      <c r="E420" s="75">
        <v>38.9404</v>
      </c>
      <c r="F420" s="75">
        <v>-92.3277</v>
      </c>
      <c r="G420" s="69">
        <f>IF(C420=3,IF(D420&gt;=8,5,4),IF(C420=2,IF(D420&gt;=7,3,2),1))</f>
      </c>
    </row>
    <row r="421" spans="1:7" x14ac:dyDescent="0.25">
      <c r="A421" s="72">
        <v>419</v>
      </c>
      <c r="B421" s="64" t="s">
        <v>552</v>
      </c>
      <c r="C421" s="13">
        <v>1</v>
      </c>
      <c r="D421" s="17">
        <v>5</v>
      </c>
      <c r="E421" s="73">
        <v>39.0327</v>
      </c>
      <c r="F421" s="73">
        <v>-94.5766</v>
      </c>
      <c r="G421" s="66">
        <f>IF(C421=3,IF(D421&gt;=8,5,4),IF(C421=2,IF(D421&gt;=7,3,2),1))</f>
      </c>
    </row>
    <row r="422" spans="1:7" x14ac:dyDescent="0.25">
      <c r="A422" s="74">
        <v>420</v>
      </c>
      <c r="B422" s="67" t="s">
        <v>553</v>
      </c>
      <c r="C422" s="20">
        <v>2</v>
      </c>
      <c r="D422" s="23">
        <v>5.15</v>
      </c>
      <c r="E422" s="75">
        <v>46.8625</v>
      </c>
      <c r="F422" s="75">
        <v>-113.9847</v>
      </c>
      <c r="G422" s="69">
        <f>IF(C422=3,IF(D422&gt;=8,5,4),IF(C422=2,IF(D422&gt;=7,3,2),1))</f>
      </c>
    </row>
    <row r="423" spans="1:7" x14ac:dyDescent="0.25">
      <c r="A423" s="72">
        <v>421</v>
      </c>
      <c r="B423" s="64" t="s">
        <v>554</v>
      </c>
      <c r="C423" s="13">
        <v>1</v>
      </c>
      <c r="D423" s="17">
        <v>5.5</v>
      </c>
      <c r="E423" s="73">
        <v>41.2581</v>
      </c>
      <c r="F423" s="73">
        <v>-96.0107</v>
      </c>
      <c r="G423" s="66">
        <f>IF(C423=3,IF(D423&gt;=8,5,4),IF(C423=2,IF(D423&gt;=7,3,2),1))</f>
      </c>
    </row>
    <row r="424" spans="1:7" x14ac:dyDescent="0.25">
      <c r="A424" s="74">
        <v>422</v>
      </c>
      <c r="B424" s="67" t="s">
        <v>555</v>
      </c>
      <c r="C424" s="20">
        <v>2</v>
      </c>
      <c r="D424" s="23">
        <v>7.03</v>
      </c>
      <c r="E424" s="75">
        <v>40.8202</v>
      </c>
      <c r="F424" s="75">
        <v>-96.7005</v>
      </c>
      <c r="G424" s="69">
        <f>IF(C424=3,IF(D424&gt;=8,5,4),IF(C424=2,IF(D424&gt;=7,3,2),1))</f>
      </c>
    </row>
    <row r="425" spans="1:7" x14ac:dyDescent="0.25">
      <c r="A425" s="72">
        <v>423</v>
      </c>
      <c r="B425" s="64" t="s">
        <v>556</v>
      </c>
      <c r="C425" s="13">
        <v>2</v>
      </c>
      <c r="D425" s="17">
        <v>5.88</v>
      </c>
      <c r="E425" s="73">
        <v>36.108</v>
      </c>
      <c r="F425" s="73">
        <v>-115.1434</v>
      </c>
      <c r="G425" s="66">
        <f>IF(C425=3,IF(D425&gt;=8,5,4),IF(C425=2,IF(D425&gt;=7,3,2),1))</f>
      </c>
    </row>
    <row r="426" spans="1:7" x14ac:dyDescent="0.25">
      <c r="A426" s="74">
        <v>424</v>
      </c>
      <c r="B426" s="67" t="s">
        <v>557</v>
      </c>
      <c r="C426" s="20">
        <v>2</v>
      </c>
      <c r="D426" s="23">
        <v>5.08</v>
      </c>
      <c r="E426" s="75">
        <v>39.5432</v>
      </c>
      <c r="F426" s="75">
        <v>-119.8159</v>
      </c>
      <c r="G426" s="69">
        <f>IF(C426=3,IF(D426&gt;=8,5,4),IF(C426=2,IF(D426&gt;=7,3,2),1))</f>
      </c>
    </row>
    <row r="427" spans="1:7" x14ac:dyDescent="0.25">
      <c r="A427" s="72">
        <v>425</v>
      </c>
      <c r="B427" s="64" t="s">
        <v>558</v>
      </c>
      <c r="C427" s="13">
        <v>2</v>
      </c>
      <c r="D427" s="17">
        <v>6.8</v>
      </c>
      <c r="E427" s="73">
        <v>43.1348</v>
      </c>
      <c r="F427" s="73">
        <v>-70.9358</v>
      </c>
      <c r="G427" s="66">
        <f>IF(C427=3,IF(D427&gt;=8,5,4),IF(C427=2,IF(D427&gt;=7,3,2),1))</f>
      </c>
    </row>
    <row r="428" spans="1:7" x14ac:dyDescent="0.25">
      <c r="A428" s="74">
        <v>426</v>
      </c>
      <c r="B428" s="67" t="s">
        <v>559</v>
      </c>
      <c r="C428" s="20">
        <v>2</v>
      </c>
      <c r="D428" s="23">
        <v>5.5</v>
      </c>
      <c r="E428" s="75">
        <v>35.0844</v>
      </c>
      <c r="F428" s="75">
        <v>-106.6189</v>
      </c>
      <c r="G428" s="69">
        <f>IF(C428=3,IF(D428&gt;=8,5,4),IF(C428=2,IF(D428&gt;=7,3,2),1))</f>
      </c>
    </row>
    <row r="429" spans="1:7" x14ac:dyDescent="0.25">
      <c r="A429" s="72">
        <v>427</v>
      </c>
      <c r="B429" s="64" t="s">
        <v>560</v>
      </c>
      <c r="C429" s="13">
        <v>1</v>
      </c>
      <c r="D429" s="17">
        <v>5.5</v>
      </c>
      <c r="E429" s="73">
        <v>30.0282</v>
      </c>
      <c r="F429" s="73">
        <v>-90.0659</v>
      </c>
      <c r="G429" s="66">
        <f>IF(C429=3,IF(D429&gt;=8,5,4),IF(C429=2,IF(D429&gt;=7,3,2),1))</f>
      </c>
    </row>
    <row r="430" spans="1:7" x14ac:dyDescent="0.25">
      <c r="A430" s="74">
        <v>428</v>
      </c>
      <c r="B430" s="67" t="s">
        <v>561</v>
      </c>
      <c r="C430" s="20">
        <v>1</v>
      </c>
      <c r="D430" s="23">
        <v>5.5</v>
      </c>
      <c r="E430" s="75">
        <v>34.7506</v>
      </c>
      <c r="F430" s="75">
        <v>-87.6987</v>
      </c>
      <c r="G430" s="69">
        <f>IF(C430=3,IF(D430&gt;=8,5,4),IF(C430=2,IF(D430&gt;=7,3,2),1))</f>
      </c>
    </row>
    <row r="431" spans="1:7" x14ac:dyDescent="0.25">
      <c r="A431" s="72">
        <v>429</v>
      </c>
      <c r="B431" s="64" t="s">
        <v>562</v>
      </c>
      <c r="C431" s="13">
        <v>2</v>
      </c>
      <c r="D431" s="17">
        <v>6.73</v>
      </c>
      <c r="E431" s="73">
        <v>35.9049</v>
      </c>
      <c r="F431" s="73">
        <v>-79.0469</v>
      </c>
      <c r="G431" s="66">
        <f>IF(C431=3,IF(D431&gt;=8,5,4),IF(C431=2,IF(D431&gt;=7,3,2),1))</f>
      </c>
    </row>
    <row r="432" spans="1:7" x14ac:dyDescent="0.25">
      <c r="A432" s="74">
        <v>430</v>
      </c>
      <c r="B432" s="67" t="s">
        <v>563</v>
      </c>
      <c r="C432" s="20">
        <v>2</v>
      </c>
      <c r="D432" s="23">
        <v>6</v>
      </c>
      <c r="E432" s="75">
        <v>35.3076</v>
      </c>
      <c r="F432" s="75">
        <v>-80.7334</v>
      </c>
      <c r="G432" s="69">
        <f>IF(C432=3,IF(D432&gt;=8,5,4),IF(C432=2,IF(D432&gt;=7,3,2),1))</f>
      </c>
    </row>
    <row r="433" spans="1:7" x14ac:dyDescent="0.25">
      <c r="A433" s="72">
        <v>431</v>
      </c>
      <c r="B433" s="64" t="s">
        <v>564</v>
      </c>
      <c r="C433" s="13">
        <v>1</v>
      </c>
      <c r="D433" s="17">
        <v>5.5</v>
      </c>
      <c r="E433" s="73">
        <v>36.0688</v>
      </c>
      <c r="F433" s="73">
        <v>-79.8106</v>
      </c>
      <c r="G433" s="66">
        <f>IF(C433=3,IF(D433&gt;=8,5,4),IF(C433=2,IF(D433&gt;=7,3,2),1))</f>
      </c>
    </row>
    <row r="434" spans="1:7" x14ac:dyDescent="0.25">
      <c r="A434" s="74">
        <v>432</v>
      </c>
      <c r="B434" s="67" t="s">
        <v>565</v>
      </c>
      <c r="C434" s="20">
        <v>2</v>
      </c>
      <c r="D434" s="23">
        <v>6.5</v>
      </c>
      <c r="E434" s="75">
        <v>34.2274</v>
      </c>
      <c r="F434" s="75">
        <v>-77.8731</v>
      </c>
      <c r="G434" s="69">
        <f>IF(C434=3,IF(D434&gt;=8,5,4),IF(C434=2,IF(D434&gt;=7,3,2),1))</f>
      </c>
    </row>
    <row r="435" spans="1:7" x14ac:dyDescent="0.25">
      <c r="A435" s="72">
        <v>433</v>
      </c>
      <c r="B435" s="64" t="s">
        <v>566</v>
      </c>
      <c r="C435" s="13">
        <v>2</v>
      </c>
      <c r="D435" s="17">
        <v>5</v>
      </c>
      <c r="E435" s="73">
        <v>47.9214</v>
      </c>
      <c r="F435" s="73">
        <v>-97.0785</v>
      </c>
      <c r="G435" s="66">
        <f>IF(C435=3,IF(D435&gt;=8,5,4),IF(C435=2,IF(D435&gt;=7,3,2),1))</f>
      </c>
    </row>
    <row r="436" spans="1:7" x14ac:dyDescent="0.25">
      <c r="A436" s="74">
        <v>434</v>
      </c>
      <c r="B436" s="67" t="s">
        <v>567</v>
      </c>
      <c r="C436" s="20">
        <v>1</v>
      </c>
      <c r="D436" s="23">
        <v>5.5</v>
      </c>
      <c r="E436" s="75">
        <v>30.2694</v>
      </c>
      <c r="F436" s="75">
        <v>-81.509</v>
      </c>
      <c r="G436" s="69">
        <f>IF(C436=3,IF(D436&gt;=8,5,4),IF(C436=2,IF(D436&gt;=7,3,2),1))</f>
      </c>
    </row>
    <row r="437" spans="1:7" x14ac:dyDescent="0.25">
      <c r="A437" s="72">
        <v>435</v>
      </c>
      <c r="B437" s="64" t="s">
        <v>568</v>
      </c>
      <c r="C437" s="13">
        <v>2</v>
      </c>
      <c r="D437" s="17">
        <v>5.93</v>
      </c>
      <c r="E437" s="73">
        <v>33.2101</v>
      </c>
      <c r="F437" s="73">
        <v>-97.1487</v>
      </c>
      <c r="G437" s="66">
        <f>IF(C437=3,IF(D437&gt;=8,5,4),IF(C437=2,IF(D437&gt;=7,3,2),1))</f>
      </c>
    </row>
    <row r="438" spans="1:7" x14ac:dyDescent="0.25">
      <c r="A438" s="74">
        <v>436</v>
      </c>
      <c r="B438" s="67" t="s">
        <v>569</v>
      </c>
      <c r="C438" s="20">
        <v>2</v>
      </c>
      <c r="D438" s="23">
        <v>6</v>
      </c>
      <c r="E438" s="75">
        <v>33.2088</v>
      </c>
      <c r="F438" s="75">
        <v>-97.1541</v>
      </c>
      <c r="G438" s="69">
        <f>IF(C438=3,IF(D438&gt;=8,5,4),IF(C438=2,IF(D438&gt;=7,3,2),1))</f>
      </c>
    </row>
    <row r="439" spans="1:7" x14ac:dyDescent="0.25">
      <c r="A439" s="72">
        <v>437</v>
      </c>
      <c r="B439" s="64" t="s">
        <v>570</v>
      </c>
      <c r="C439" s="13">
        <v>1</v>
      </c>
      <c r="D439" s="17">
        <v>5.5</v>
      </c>
      <c r="E439" s="73">
        <v>40.4057</v>
      </c>
      <c r="F439" s="73">
        <v>-104.6969</v>
      </c>
      <c r="G439" s="66">
        <f>IF(C439=3,IF(D439&gt;=8,5,4),IF(C439=2,IF(D439&gt;=7,3,2),1))</f>
      </c>
    </row>
    <row r="440" spans="1:7" x14ac:dyDescent="0.25">
      <c r="A440" s="74">
        <v>438</v>
      </c>
      <c r="B440" s="67" t="s">
        <v>571</v>
      </c>
      <c r="C440" s="20">
        <v>1</v>
      </c>
      <c r="D440" s="23">
        <v>5.5</v>
      </c>
      <c r="E440" s="75">
        <v>42.5133</v>
      </c>
      <c r="F440" s="75">
        <v>-92.46</v>
      </c>
      <c r="G440" s="69">
        <f>IF(C440=3,IF(D440&gt;=8,5,4),IF(C440=2,IF(D440&gt;=7,3,2),1))</f>
      </c>
    </row>
    <row r="441" spans="1:7" x14ac:dyDescent="0.25">
      <c r="A441" s="72">
        <v>439</v>
      </c>
      <c r="B441" s="64" t="s">
        <v>572</v>
      </c>
      <c r="C441" s="13">
        <v>1</v>
      </c>
      <c r="D441" s="17">
        <v>4.7</v>
      </c>
      <c r="E441" s="73">
        <v>41.703</v>
      </c>
      <c r="F441" s="73">
        <v>-86.239</v>
      </c>
      <c r="G441" s="66">
        <f>IF(C441=3,IF(D441&gt;=8,5,4),IF(C441=2,IF(D441&gt;=7,3,2),1))</f>
      </c>
    </row>
    <row r="442" spans="1:7" x14ac:dyDescent="0.25">
      <c r="A442" s="74">
        <v>440</v>
      </c>
      <c r="B442" s="67" t="s">
        <v>573</v>
      </c>
      <c r="C442" s="20">
        <v>2</v>
      </c>
      <c r="D442" s="23">
        <v>6.98</v>
      </c>
      <c r="E442" s="75">
        <v>35.2058</v>
      </c>
      <c r="F442" s="75">
        <v>-97.4457</v>
      </c>
      <c r="G442" s="69">
        <f>IF(C442=3,IF(D442&gt;=8,5,4),IF(C442=2,IF(D442&gt;=7,3,2),1))</f>
      </c>
    </row>
    <row r="443" spans="1:7" x14ac:dyDescent="0.25">
      <c r="A443" s="72">
        <v>441</v>
      </c>
      <c r="B443" s="64" t="s">
        <v>574</v>
      </c>
      <c r="C443" s="13">
        <v>2</v>
      </c>
      <c r="D443" s="17">
        <v>7.3</v>
      </c>
      <c r="E443" s="73">
        <v>44.0448</v>
      </c>
      <c r="F443" s="73">
        <v>-123.0726</v>
      </c>
      <c r="G443" s="66">
        <f>IF(C443=3,IF(D443&gt;=8,5,4),IF(C443=2,IF(D443&gt;=7,3,2),1))</f>
      </c>
    </row>
    <row r="444" spans="1:7" x14ac:dyDescent="0.25">
      <c r="A444" s="74">
        <v>442</v>
      </c>
      <c r="B444" s="67" t="s">
        <v>575</v>
      </c>
      <c r="C444" s="20">
        <v>1</v>
      </c>
      <c r="D444" s="23">
        <v>4.2</v>
      </c>
      <c r="E444" s="75">
        <v>39.9522</v>
      </c>
      <c r="F444" s="75">
        <v>-75.1932</v>
      </c>
      <c r="G444" s="69">
        <f>IF(C444=3,IF(D444&gt;=8,5,4),IF(C444=2,IF(D444&gt;=7,3,2),1))</f>
      </c>
    </row>
    <row r="445" spans="1:7" x14ac:dyDescent="0.25">
      <c r="A445" s="72">
        <v>443</v>
      </c>
      <c r="B445" s="64" t="s">
        <v>576</v>
      </c>
      <c r="C445" s="13">
        <v>2</v>
      </c>
      <c r="D445" s="17">
        <v>6.43</v>
      </c>
      <c r="E445" s="73">
        <v>40.4443</v>
      </c>
      <c r="F445" s="73">
        <v>-79.9608</v>
      </c>
      <c r="G445" s="66">
        <f>IF(C445=3,IF(D445&gt;=8,5,4),IF(C445=2,IF(D445&gt;=7,3,2),1))</f>
      </c>
    </row>
    <row r="446" spans="1:7" x14ac:dyDescent="0.25">
      <c r="A446" s="74">
        <v>444</v>
      </c>
      <c r="B446" s="67" t="s">
        <v>577</v>
      </c>
      <c r="C446" s="20">
        <v>1</v>
      </c>
      <c r="D446" s="23">
        <v>4.5</v>
      </c>
      <c r="E446" s="75">
        <v>45.5718</v>
      </c>
      <c r="F446" s="75">
        <v>-122.7262</v>
      </c>
      <c r="G446" s="69">
        <f>IF(C446=3,IF(D446&gt;=8,5,4),IF(C446=2,IF(D446&gt;=7,3,2),1))</f>
      </c>
    </row>
    <row r="447" spans="1:7" x14ac:dyDescent="0.25">
      <c r="A447" s="72">
        <v>445</v>
      </c>
      <c r="B447" s="64" t="s">
        <v>578</v>
      </c>
      <c r="C447" s="13">
        <v>1</v>
      </c>
      <c r="D447" s="17">
        <v>3.13</v>
      </c>
      <c r="E447" s="73">
        <v>47.2631</v>
      </c>
      <c r="F447" s="73">
        <v>-122.4821</v>
      </c>
      <c r="G447" s="66">
        <f>IF(C447=3,IF(D447&gt;=8,5,4),IF(C447=2,IF(D447&gt;=7,3,2),1))</f>
      </c>
    </row>
    <row r="448" spans="1:7" x14ac:dyDescent="0.25">
      <c r="A448" s="74">
        <v>446</v>
      </c>
      <c r="B448" s="67" t="s">
        <v>579</v>
      </c>
      <c r="C448" s="20">
        <v>1</v>
      </c>
      <c r="D448" s="23">
        <v>3.88</v>
      </c>
      <c r="E448" s="75">
        <v>34.0626</v>
      </c>
      <c r="F448" s="75">
        <v>-117.1637</v>
      </c>
      <c r="G448" s="69">
        <f>IF(C448=3,IF(D448&gt;=8,5,4),IF(C448=2,IF(D448&gt;=7,3,2),1))</f>
      </c>
    </row>
    <row r="449" spans="1:7" x14ac:dyDescent="0.25">
      <c r="A449" s="72">
        <v>447</v>
      </c>
      <c r="B449" s="64" t="s">
        <v>580</v>
      </c>
      <c r="C449" s="13">
        <v>2</v>
      </c>
      <c r="D449" s="17">
        <v>6.2</v>
      </c>
      <c r="E449" s="73">
        <v>41.4806</v>
      </c>
      <c r="F449" s="73">
        <v>-71.5229</v>
      </c>
      <c r="G449" s="66">
        <f>IF(C449=3,IF(D449&gt;=8,5,4),IF(C449=2,IF(D449&gt;=7,3,2),1))</f>
      </c>
    </row>
    <row r="450" spans="1:7" x14ac:dyDescent="0.25">
      <c r="A450" s="74">
        <v>448</v>
      </c>
      <c r="B450" s="67" t="s">
        <v>581</v>
      </c>
      <c r="C450" s="20">
        <v>2</v>
      </c>
      <c r="D450" s="23">
        <v>5.73</v>
      </c>
      <c r="E450" s="75">
        <v>37.5752</v>
      </c>
      <c r="F450" s="75">
        <v>-77.5406</v>
      </c>
      <c r="G450" s="69">
        <f>IF(C450=3,IF(D450&gt;=8,5,4),IF(C450=2,IF(D450&gt;=7,3,2),1))</f>
      </c>
    </row>
    <row r="451" spans="1:7" x14ac:dyDescent="0.25">
      <c r="A451" s="72">
        <v>449</v>
      </c>
      <c r="B451" s="64" t="s">
        <v>582</v>
      </c>
      <c r="C451" s="13">
        <v>1</v>
      </c>
      <c r="D451" s="17">
        <v>4.55</v>
      </c>
      <c r="E451" s="73">
        <v>43.1289</v>
      </c>
      <c r="F451" s="73">
        <v>-77.6275</v>
      </c>
      <c r="G451" s="66">
        <f>IF(C451=3,IF(D451&gt;=8,5,4),IF(C451=2,IF(D451&gt;=7,3,2),1))</f>
      </c>
    </row>
    <row r="452" spans="1:7" x14ac:dyDescent="0.25">
      <c r="A452" s="74">
        <v>450</v>
      </c>
      <c r="B452" s="67" t="s">
        <v>583</v>
      </c>
      <c r="C452" s="20">
        <v>2</v>
      </c>
      <c r="D452" s="23">
        <v>5.53</v>
      </c>
      <c r="E452" s="75">
        <v>32.772</v>
      </c>
      <c r="F452" s="75">
        <v>-117.1882</v>
      </c>
      <c r="G452" s="69">
        <f>IF(C452=3,IF(D452&gt;=8,5,4),IF(C452=2,IF(D452&gt;=7,3,2),1))</f>
      </c>
    </row>
    <row r="453" spans="1:7" x14ac:dyDescent="0.25">
      <c r="A453" s="72">
        <v>451</v>
      </c>
      <c r="B453" s="64" t="s">
        <v>584</v>
      </c>
      <c r="C453" s="13">
        <v>1</v>
      </c>
      <c r="D453" s="17">
        <v>3.7</v>
      </c>
      <c r="E453" s="73">
        <v>37.7765</v>
      </c>
      <c r="F453" s="73">
        <v>-122.4506</v>
      </c>
      <c r="G453" s="66">
        <f>IF(C453=3,IF(D453&gt;=8,5,4),IF(C453=2,IF(D453&gt;=7,3,2),1))</f>
      </c>
    </row>
    <row r="454" spans="1:7" x14ac:dyDescent="0.25">
      <c r="A454" s="74">
        <v>452</v>
      </c>
      <c r="B454" s="67" t="s">
        <v>585</v>
      </c>
      <c r="C454" s="20">
        <v>1</v>
      </c>
      <c r="D454" s="23">
        <v>3.6</v>
      </c>
      <c r="E454" s="75">
        <v>41.4074</v>
      </c>
      <c r="F454" s="75">
        <v>-75.6513</v>
      </c>
      <c r="G454" s="69">
        <f>IF(C454=3,IF(D454&gt;=8,5,4),IF(C454=2,IF(D454&gt;=7,3,2),1))</f>
      </c>
    </row>
    <row r="455" spans="1:7" x14ac:dyDescent="0.25">
      <c r="A455" s="72">
        <v>453</v>
      </c>
      <c r="B455" s="64" t="s">
        <v>586</v>
      </c>
      <c r="C455" s="13">
        <v>1</v>
      </c>
      <c r="D455" s="17">
        <v>5.5</v>
      </c>
      <c r="E455" s="73">
        <v>30.696</v>
      </c>
      <c r="F455" s="73">
        <v>-88.1788</v>
      </c>
      <c r="G455" s="66">
        <f>IF(C455=3,IF(D455&gt;=8,5,4),IF(C455=2,IF(D455&gt;=7,3,2),1))</f>
      </c>
    </row>
    <row r="456" spans="1:7" x14ac:dyDescent="0.25">
      <c r="A456" s="74">
        <v>454</v>
      </c>
      <c r="B456" s="67" t="s">
        <v>587</v>
      </c>
      <c r="C456" s="20">
        <v>2</v>
      </c>
      <c r="D456" s="23">
        <v>7.18</v>
      </c>
      <c r="E456" s="75">
        <v>33.994</v>
      </c>
      <c r="F456" s="75">
        <v>-81.0301</v>
      </c>
      <c r="G456" s="69">
        <f>IF(C456=3,IF(D456&gt;=8,5,4),IF(C456=2,IF(D456&gt;=7,3,2),1))</f>
      </c>
    </row>
    <row r="457" spans="1:7" x14ac:dyDescent="0.25">
      <c r="A457" s="72">
        <v>455</v>
      </c>
      <c r="B457" s="64" t="s">
        <v>588</v>
      </c>
      <c r="C457" s="13">
        <v>1</v>
      </c>
      <c r="D457" s="17">
        <v>5</v>
      </c>
      <c r="E457" s="73">
        <v>32.3411</v>
      </c>
      <c r="F457" s="73">
        <v>-80.6825</v>
      </c>
      <c r="G457" s="66">
        <f>IF(C457=3,IF(D457&gt;=8,5,4),IF(C457=2,IF(D457&gt;=7,3,2),1))</f>
      </c>
    </row>
    <row r="458" spans="1:7" x14ac:dyDescent="0.25">
      <c r="A458" s="74">
        <v>456</v>
      </c>
      <c r="B458" s="67" t="s">
        <v>589</v>
      </c>
      <c r="C458" s="20">
        <v>1</v>
      </c>
      <c r="D458" s="23">
        <v>5</v>
      </c>
      <c r="E458" s="75">
        <v>34.9253</v>
      </c>
      <c r="F458" s="75">
        <v>-81.9834</v>
      </c>
      <c r="G458" s="69">
        <f>IF(C458=3,IF(D458&gt;=8,5,4),IF(C458=2,IF(D458&gt;=7,3,2),1))</f>
      </c>
    </row>
    <row r="459" spans="1:7" x14ac:dyDescent="0.25">
      <c r="A459" s="72">
        <v>457</v>
      </c>
      <c r="B459" s="64" t="s">
        <v>590</v>
      </c>
      <c r="C459" s="13">
        <v>1</v>
      </c>
      <c r="D459" s="17">
        <v>6</v>
      </c>
      <c r="E459" s="73">
        <v>42.7866</v>
      </c>
      <c r="F459" s="73">
        <v>-96.9263</v>
      </c>
      <c r="G459" s="66">
        <f>IF(C459=3,IF(D459&gt;=8,5,4),IF(C459=2,IF(D459&gt;=7,3,2),1))</f>
      </c>
    </row>
    <row r="460" spans="1:7" x14ac:dyDescent="0.25">
      <c r="A460" s="74">
        <v>458</v>
      </c>
      <c r="B460" s="67" t="s">
        <v>591</v>
      </c>
      <c r="C460" s="20">
        <v>2</v>
      </c>
      <c r="D460" s="23">
        <v>6.53</v>
      </c>
      <c r="E460" s="75">
        <v>28.0587</v>
      </c>
      <c r="F460" s="75">
        <v>-82.4139</v>
      </c>
      <c r="G460" s="69">
        <f>IF(C460=3,IF(D460&gt;=8,5,4),IF(C460=2,IF(D460&gt;=7,3,2),1))</f>
      </c>
    </row>
    <row r="461" spans="1:7" x14ac:dyDescent="0.25">
      <c r="A461" s="72">
        <v>459</v>
      </c>
      <c r="B461" s="64" t="s">
        <v>592</v>
      </c>
      <c r="C461" s="13">
        <v>2</v>
      </c>
      <c r="D461" s="17">
        <v>5.83</v>
      </c>
      <c r="E461" s="73">
        <v>34.0224</v>
      </c>
      <c r="F461" s="73">
        <v>-118.2851</v>
      </c>
      <c r="G461" s="66">
        <f>IF(C461=3,IF(D461&gt;=8,5,4),IF(C461=2,IF(D461&gt;=7,3,2),1))</f>
      </c>
    </row>
    <row r="462" spans="1:7" x14ac:dyDescent="0.25">
      <c r="A462" s="74">
        <v>460</v>
      </c>
      <c r="B462" s="67" t="s">
        <v>593</v>
      </c>
      <c r="C462" s="20">
        <v>1</v>
      </c>
      <c r="D462" s="23">
        <v>5.5</v>
      </c>
      <c r="E462" s="75">
        <v>38.0061</v>
      </c>
      <c r="F462" s="75">
        <v>-87.6769</v>
      </c>
      <c r="G462" s="69">
        <f>IF(C462=3,IF(D462&gt;=8,5,4),IF(C462=2,IF(D462&gt;=7,3,2),1))</f>
      </c>
    </row>
    <row r="463" spans="1:7" x14ac:dyDescent="0.25">
      <c r="A463" s="72">
        <v>461</v>
      </c>
      <c r="B463" s="64" t="s">
        <v>594</v>
      </c>
      <c r="C463" s="13">
        <v>1</v>
      </c>
      <c r="D463" s="17">
        <v>4.5</v>
      </c>
      <c r="E463" s="73">
        <v>43.651</v>
      </c>
      <c r="F463" s="73">
        <v>-70.289</v>
      </c>
      <c r="G463" s="66">
        <f>IF(C463=3,IF(D463&gt;=8,5,4),IF(C463=2,IF(D463&gt;=7,3,2),1))</f>
      </c>
    </row>
    <row r="464" spans="1:7" x14ac:dyDescent="0.25">
      <c r="A464" s="74">
        <v>462</v>
      </c>
      <c r="B464" s="67" t="s">
        <v>595</v>
      </c>
      <c r="C464" s="20">
        <v>2</v>
      </c>
      <c r="D464" s="23">
        <v>6</v>
      </c>
      <c r="E464" s="75">
        <v>31.3275</v>
      </c>
      <c r="F464" s="75">
        <v>-89.3329</v>
      </c>
      <c r="G464" s="69">
        <f>IF(C464=3,IF(D464&gt;=8,5,4),IF(C464=2,IF(D464&gt;=7,3,2),1))</f>
      </c>
    </row>
    <row r="465" spans="1:7" x14ac:dyDescent="0.25">
      <c r="A465" s="72">
        <v>463</v>
      </c>
      <c r="B465" s="64" t="s">
        <v>596</v>
      </c>
      <c r="C465" s="13">
        <v>2</v>
      </c>
      <c r="D465" s="17">
        <v>5.4</v>
      </c>
      <c r="E465" s="73">
        <v>27.9467</v>
      </c>
      <c r="F465" s="73">
        <v>-82.4642</v>
      </c>
      <c r="G465" s="66">
        <f>IF(C465=3,IF(D465&gt;=8,5,4),IF(C465=2,IF(D465&gt;=7,3,2),1))</f>
      </c>
    </row>
    <row r="466" spans="1:7" x14ac:dyDescent="0.25">
      <c r="A466" s="74">
        <v>464</v>
      </c>
      <c r="B466" s="67" t="s">
        <v>597</v>
      </c>
      <c r="C466" s="20">
        <v>3</v>
      </c>
      <c r="D466" s="23">
        <v>7.93</v>
      </c>
      <c r="E466" s="75">
        <v>35.9544</v>
      </c>
      <c r="F466" s="75">
        <v>-83.9295</v>
      </c>
      <c r="G466" s="69">
        <f>IF(C466=3,IF(D466&gt;=8,5,4),IF(C466=2,IF(D466&gt;=7,3,2),1))</f>
      </c>
    </row>
    <row r="467" spans="1:7" x14ac:dyDescent="0.25">
      <c r="A467" s="72">
        <v>465</v>
      </c>
      <c r="B467" s="64" t="s">
        <v>598</v>
      </c>
      <c r="C467" s="13">
        <v>1</v>
      </c>
      <c r="D467" s="17">
        <v>5.5</v>
      </c>
      <c r="E467" s="73">
        <v>35.0485</v>
      </c>
      <c r="F467" s="73">
        <v>-85.3008</v>
      </c>
      <c r="G467" s="66">
        <f>IF(C467=3,IF(D467&gt;=8,5,4),IF(C467=2,IF(D467&gt;=7,3,2),1))</f>
      </c>
    </row>
    <row r="468" spans="1:7" x14ac:dyDescent="0.25">
      <c r="A468" s="74">
        <v>466</v>
      </c>
      <c r="B468" s="67" t="s">
        <v>599</v>
      </c>
      <c r="C468" s="20">
        <v>2</v>
      </c>
      <c r="D468" s="23">
        <v>5.5</v>
      </c>
      <c r="E468" s="75">
        <v>32.73</v>
      </c>
      <c r="F468" s="75">
        <v>-97.113</v>
      </c>
      <c r="G468" s="69">
        <f>IF(C468=3,IF(D468&gt;=8,5,4),IF(C468=2,IF(D468&gt;=7,3,2),1))</f>
      </c>
    </row>
    <row r="469" spans="1:7" x14ac:dyDescent="0.25">
      <c r="A469" s="72">
        <v>467</v>
      </c>
      <c r="B469" s="64" t="s">
        <v>600</v>
      </c>
      <c r="C469" s="13">
        <v>2</v>
      </c>
      <c r="D469" s="17">
        <v>6.65</v>
      </c>
      <c r="E469" s="73">
        <v>30.2849</v>
      </c>
      <c r="F469" s="73">
        <v>-97.7341</v>
      </c>
      <c r="G469" s="66">
        <f>IF(C469=3,IF(D469&gt;=8,5,4),IF(C469=2,IF(D469&gt;=7,3,2),1))</f>
      </c>
    </row>
    <row r="470" spans="1:7" x14ac:dyDescent="0.25">
      <c r="A470" s="74">
        <v>468</v>
      </c>
      <c r="B470" s="67" t="s">
        <v>601</v>
      </c>
      <c r="C470" s="20">
        <v>2</v>
      </c>
      <c r="D470" s="23">
        <v>4.5</v>
      </c>
      <c r="E470" s="75">
        <v>32.9863</v>
      </c>
      <c r="F470" s="75">
        <v>-96.75</v>
      </c>
      <c r="G470" s="69">
        <f>IF(C470=3,IF(D470&gt;=8,5,4),IF(C470=2,IF(D470&gt;=7,3,2),1))</f>
      </c>
    </row>
    <row r="471" spans="1:7" x14ac:dyDescent="0.25">
      <c r="A471" s="72">
        <v>469</v>
      </c>
      <c r="B471" s="64" t="s">
        <v>602</v>
      </c>
      <c r="C471" s="13">
        <v>2</v>
      </c>
      <c r="D471" s="17">
        <v>5</v>
      </c>
      <c r="E471" s="73">
        <v>31.7699</v>
      </c>
      <c r="F471" s="73">
        <v>-106.505</v>
      </c>
      <c r="G471" s="66">
        <f>IF(C471=3,IF(D471&gt;=8,5,4),IF(C471=2,IF(D471&gt;=7,3,2),1))</f>
      </c>
    </row>
    <row r="472" spans="1:7" x14ac:dyDescent="0.25">
      <c r="A472" s="74">
        <v>470</v>
      </c>
      <c r="B472" s="67" t="s">
        <v>603</v>
      </c>
      <c r="C472" s="20">
        <v>2</v>
      </c>
      <c r="D472" s="23">
        <v>6</v>
      </c>
      <c r="E472" s="75">
        <v>29.5826</v>
      </c>
      <c r="F472" s="75">
        <v>-98.62</v>
      </c>
      <c r="G472" s="69">
        <f>IF(C472=3,IF(D472&gt;=8,5,4),IF(C472=2,IF(D472&gt;=7,3,2),1))</f>
      </c>
    </row>
    <row r="473" spans="1:7" x14ac:dyDescent="0.25">
      <c r="A473" s="72">
        <v>471</v>
      </c>
      <c r="B473" s="64" t="s">
        <v>604</v>
      </c>
      <c r="C473" s="13">
        <v>1</v>
      </c>
      <c r="D473" s="17">
        <v>5</v>
      </c>
      <c r="E473" s="73">
        <v>26.3057</v>
      </c>
      <c r="F473" s="73">
        <v>-98.1743</v>
      </c>
      <c r="G473" s="66">
        <f>IF(C473=3,IF(D473&gt;=8,5,4),IF(C473=2,IF(D473&gt;=7,3,2),1))</f>
      </c>
    </row>
    <row r="474" spans="1:7" x14ac:dyDescent="0.25">
      <c r="A474" s="74">
        <v>472</v>
      </c>
      <c r="B474" s="67" t="s">
        <v>605</v>
      </c>
      <c r="C474" s="20">
        <v>1</v>
      </c>
      <c r="D474" s="23">
        <v>4</v>
      </c>
      <c r="E474" s="75">
        <v>38.9528</v>
      </c>
      <c r="F474" s="75">
        <v>-77.0175</v>
      </c>
      <c r="G474" s="69">
        <f>IF(C474=3,IF(D474&gt;=8,5,4),IF(C474=2,IF(D474&gt;=7,3,2),1))</f>
      </c>
    </row>
    <row r="475" spans="1:7" x14ac:dyDescent="0.25">
      <c r="A475" s="72">
        <v>473</v>
      </c>
      <c r="B475" s="64" t="s">
        <v>606</v>
      </c>
      <c r="C475" s="13">
        <v>1</v>
      </c>
      <c r="D475" s="17">
        <v>3.53</v>
      </c>
      <c r="E475" s="73">
        <v>37.9821</v>
      </c>
      <c r="F475" s="73">
        <v>-121.3109</v>
      </c>
      <c r="G475" s="66">
        <f>IF(C475=3,IF(D475&gt;=8,5,4),IF(C475=2,IF(D475&gt;=7,3,2),1))</f>
      </c>
    </row>
    <row r="476" spans="1:7" x14ac:dyDescent="0.25">
      <c r="A476" s="74">
        <v>474</v>
      </c>
      <c r="B476" s="67" t="s">
        <v>607</v>
      </c>
      <c r="C476" s="20">
        <v>1</v>
      </c>
      <c r="D476" s="23">
        <v>5.5</v>
      </c>
      <c r="E476" s="75">
        <v>41.6572</v>
      </c>
      <c r="F476" s="75">
        <v>-83.6135</v>
      </c>
      <c r="G476" s="69">
        <f>IF(C476=3,IF(D476&gt;=8,5,4),IF(C476=2,IF(D476&gt;=7,3,2),1))</f>
      </c>
    </row>
    <row r="477" spans="1:7" x14ac:dyDescent="0.25">
      <c r="A477" s="72">
        <v>475</v>
      </c>
      <c r="B477" s="64" t="s">
        <v>608</v>
      </c>
      <c r="C477" s="13">
        <v>1</v>
      </c>
      <c r="D477" s="17">
        <v>3.85</v>
      </c>
      <c r="E477" s="73">
        <v>36.151</v>
      </c>
      <c r="F477" s="73">
        <v>-95.9464</v>
      </c>
      <c r="G477" s="66">
        <f>IF(C477=3,IF(D477&gt;=8,5,4),IF(C477=2,IF(D477&gt;=7,3,2),1))</f>
      </c>
    </row>
    <row r="478" spans="1:7" x14ac:dyDescent="0.25">
      <c r="A478" s="74">
        <v>476</v>
      </c>
      <c r="B478" s="67" t="s">
        <v>609</v>
      </c>
      <c r="C478" s="20">
        <v>2</v>
      </c>
      <c r="D478" s="23">
        <v>5.8</v>
      </c>
      <c r="E478" s="75">
        <v>40.7649</v>
      </c>
      <c r="F478" s="75">
        <v>-111.8421</v>
      </c>
      <c r="G478" s="69">
        <f>IF(C478=3,IF(D478&gt;=8,5,4),IF(C478=2,IF(D478&gt;=7,3,2),1))</f>
      </c>
    </row>
    <row r="479" spans="1:7" x14ac:dyDescent="0.25">
      <c r="A479" s="72">
        <v>477</v>
      </c>
      <c r="B479" s="64" t="s">
        <v>610</v>
      </c>
      <c r="C479" s="13">
        <v>2</v>
      </c>
      <c r="D479" s="17">
        <v>6.83</v>
      </c>
      <c r="E479" s="73">
        <v>44.4779</v>
      </c>
      <c r="F479" s="73">
        <v>-73.1965</v>
      </c>
      <c r="G479" s="66">
        <f>IF(C479=3,IF(D479&gt;=8,5,4),IF(C479=2,IF(D479&gt;=7,3,2),1))</f>
      </c>
    </row>
    <row r="480" spans="1:7" x14ac:dyDescent="0.25">
      <c r="A480" s="74">
        <v>478</v>
      </c>
      <c r="B480" s="67" t="s">
        <v>611</v>
      </c>
      <c r="C480" s="20">
        <v>2</v>
      </c>
      <c r="D480" s="23">
        <v>5.78</v>
      </c>
      <c r="E480" s="75">
        <v>38.0336</v>
      </c>
      <c r="F480" s="75">
        <v>-78.508</v>
      </c>
      <c r="G480" s="69">
        <f>IF(C480=3,IF(D480&gt;=8,5,4),IF(C480=2,IF(D480&gt;=7,3,2),1))</f>
      </c>
    </row>
    <row r="481" spans="1:7" x14ac:dyDescent="0.25">
      <c r="A481" s="72">
        <v>479</v>
      </c>
      <c r="B481" s="64" t="s">
        <v>612</v>
      </c>
      <c r="C481" s="13">
        <v>2</v>
      </c>
      <c r="D481" s="17">
        <v>6.18</v>
      </c>
      <c r="E481" s="73">
        <v>47.6553</v>
      </c>
      <c r="F481" s="73">
        <v>-122.3035</v>
      </c>
      <c r="G481" s="66">
        <f>IF(C481=3,IF(D481&gt;=8,5,4),IF(C481=2,IF(D481&gt;=7,3,2),1))</f>
      </c>
    </row>
    <row r="482" spans="1:7" x14ac:dyDescent="0.25">
      <c r="A482" s="74">
        <v>480</v>
      </c>
      <c r="B482" s="67" t="s">
        <v>613</v>
      </c>
      <c r="C482" s="20">
        <v>1</v>
      </c>
      <c r="D482" s="23">
        <v>5</v>
      </c>
      <c r="E482" s="75">
        <v>30.5475</v>
      </c>
      <c r="F482" s="75">
        <v>-87.2186</v>
      </c>
      <c r="G482" s="69">
        <f>IF(C482=3,IF(D482&gt;=8,5,4),IF(C482=2,IF(D482&gt;=7,3,2),1))</f>
      </c>
    </row>
    <row r="483" spans="1:7" x14ac:dyDescent="0.25">
      <c r="A483" s="72">
        <v>481</v>
      </c>
      <c r="B483" s="64" t="s">
        <v>614</v>
      </c>
      <c r="C483" s="13">
        <v>1</v>
      </c>
      <c r="D483" s="17">
        <v>6.5</v>
      </c>
      <c r="E483" s="73">
        <v>44.7973</v>
      </c>
      <c r="F483" s="73">
        <v>-91.4988</v>
      </c>
      <c r="G483" s="66">
        <f>IF(C483=3,IF(D483&gt;=8,5,4),IF(C483=2,IF(D483&gt;=7,3,2),1))</f>
      </c>
    </row>
    <row r="484" spans="1:7" x14ac:dyDescent="0.25">
      <c r="A484" s="74">
        <v>482</v>
      </c>
      <c r="B484" s="67" t="s">
        <v>615</v>
      </c>
      <c r="C484" s="20">
        <v>1</v>
      </c>
      <c r="D484" s="23">
        <v>6.5</v>
      </c>
      <c r="E484" s="75">
        <v>43.8133</v>
      </c>
      <c r="F484" s="75">
        <v>-91.2268</v>
      </c>
      <c r="G484" s="69">
        <f>IF(C484=3,IF(D484&gt;=8,5,4),IF(C484=2,IF(D484&gt;=7,3,2),1))</f>
      </c>
    </row>
    <row r="485" spans="1:7" x14ac:dyDescent="0.25">
      <c r="A485" s="72">
        <v>483</v>
      </c>
      <c r="B485" s="64" t="s">
        <v>616</v>
      </c>
      <c r="C485" s="13">
        <v>3</v>
      </c>
      <c r="D485" s="17">
        <v>8.3</v>
      </c>
      <c r="E485" s="73">
        <v>43.0766</v>
      </c>
      <c r="F485" s="73">
        <v>-89.4125</v>
      </c>
      <c r="G485" s="66">
        <f>IF(C485=3,IF(D485&gt;=8,5,4),IF(C485=2,IF(D485&gt;=7,3,2),1))</f>
      </c>
    </row>
    <row r="486" spans="1:7" x14ac:dyDescent="0.25">
      <c r="A486" s="74">
        <v>484</v>
      </c>
      <c r="B486" s="67" t="s">
        <v>617</v>
      </c>
      <c r="C486" s="20">
        <v>2</v>
      </c>
      <c r="D486" s="23">
        <v>6.5</v>
      </c>
      <c r="E486" s="75">
        <v>43.0766</v>
      </c>
      <c r="F486" s="75">
        <v>-87.8818</v>
      </c>
      <c r="G486" s="69">
        <f>IF(C486=3,IF(D486&gt;=8,5,4),IF(C486=2,IF(D486&gt;=7,3,2),1))</f>
      </c>
    </row>
    <row r="487" spans="1:7" x14ac:dyDescent="0.25">
      <c r="A487" s="72">
        <v>485</v>
      </c>
      <c r="B487" s="64" t="s">
        <v>618</v>
      </c>
      <c r="C487" s="13">
        <v>1</v>
      </c>
      <c r="D487" s="17">
        <v>6.5</v>
      </c>
      <c r="E487" s="73">
        <v>44.0257</v>
      </c>
      <c r="F487" s="73">
        <v>-88.5512</v>
      </c>
      <c r="G487" s="66">
        <f>IF(C487=3,IF(D487&gt;=8,5,4),IF(C487=2,IF(D487&gt;=7,3,2),1))</f>
      </c>
    </row>
    <row r="488" spans="1:7" x14ac:dyDescent="0.25">
      <c r="A488" s="74">
        <v>486</v>
      </c>
      <c r="B488" s="67" t="s">
        <v>619</v>
      </c>
      <c r="C488" s="20">
        <v>1</v>
      </c>
      <c r="D488" s="23">
        <v>6</v>
      </c>
      <c r="E488" s="75">
        <v>42.7268</v>
      </c>
      <c r="F488" s="75">
        <v>-90.4788</v>
      </c>
      <c r="G488" s="69">
        <f>IF(C488=3,IF(D488&gt;=8,5,4),IF(C488=2,IF(D488&gt;=7,3,2),1))</f>
      </c>
    </row>
    <row r="489" spans="1:7" x14ac:dyDescent="0.25">
      <c r="A489" s="72">
        <v>487</v>
      </c>
      <c r="B489" s="64" t="s">
        <v>620</v>
      </c>
      <c r="C489" s="13">
        <v>1</v>
      </c>
      <c r="D489" s="17">
        <v>6</v>
      </c>
      <c r="E489" s="73">
        <v>44.5303</v>
      </c>
      <c r="F489" s="73">
        <v>-89.571</v>
      </c>
      <c r="G489" s="66">
        <f>IF(C489=3,IF(D489&gt;=8,5,4),IF(C489=2,IF(D489&gt;=7,3,2),1))</f>
      </c>
    </row>
    <row r="490" spans="1:7" x14ac:dyDescent="0.25">
      <c r="A490" s="74">
        <v>488</v>
      </c>
      <c r="B490" s="67" t="s">
        <v>621</v>
      </c>
      <c r="C490" s="20">
        <v>1</v>
      </c>
      <c r="D490" s="23">
        <v>6</v>
      </c>
      <c r="E490" s="75">
        <v>44.8622</v>
      </c>
      <c r="F490" s="75">
        <v>-91.9213</v>
      </c>
      <c r="G490" s="69">
        <f>IF(C490=3,IF(D490&gt;=8,5,4),IF(C490=2,IF(D490&gt;=7,3,2),1))</f>
      </c>
    </row>
    <row r="491" spans="1:7" x14ac:dyDescent="0.25">
      <c r="A491" s="72">
        <v>489</v>
      </c>
      <c r="B491" s="64" t="s">
        <v>622</v>
      </c>
      <c r="C491" s="13">
        <v>1</v>
      </c>
      <c r="D491" s="17">
        <v>6.5</v>
      </c>
      <c r="E491" s="73">
        <v>42.8392</v>
      </c>
      <c r="F491" s="73">
        <v>-88.7338</v>
      </c>
      <c r="G491" s="66">
        <f>IF(C491=3,IF(D491&gt;=8,5,4),IF(C491=2,IF(D491&gt;=7,3,2),1))</f>
      </c>
    </row>
    <row r="492" spans="1:7" x14ac:dyDescent="0.25">
      <c r="A492" s="74">
        <v>490</v>
      </c>
      <c r="B492" s="67" t="s">
        <v>623</v>
      </c>
      <c r="C492" s="20">
        <v>2</v>
      </c>
      <c r="D492" s="23">
        <v>5.3</v>
      </c>
      <c r="E492" s="75">
        <v>41.3149</v>
      </c>
      <c r="F492" s="75">
        <v>-105.5666</v>
      </c>
      <c r="G492" s="69">
        <f>IF(C492=3,IF(D492&gt;=8,5,4),IF(C492=2,IF(D492&gt;=7,3,2),1))</f>
      </c>
    </row>
    <row r="493" spans="1:7" x14ac:dyDescent="0.25">
      <c r="A493" s="72">
        <v>491</v>
      </c>
      <c r="B493" s="64" t="s">
        <v>624</v>
      </c>
      <c r="C493" s="13">
        <v>1</v>
      </c>
      <c r="D493" s="17">
        <v>2.73</v>
      </c>
      <c r="E493" s="73">
        <v>40.1856</v>
      </c>
      <c r="F493" s="73">
        <v>-75.4563</v>
      </c>
      <c r="G493" s="66">
        <f>IF(C493=3,IF(D493&gt;=8,5,4),IF(C493=2,IF(D493&gt;=7,3,2),1))</f>
      </c>
    </row>
    <row r="494" spans="1:7" x14ac:dyDescent="0.25">
      <c r="A494" s="74">
        <v>492</v>
      </c>
      <c r="B494" s="67" t="s">
        <v>625</v>
      </c>
      <c r="C494" s="20">
        <v>2</v>
      </c>
      <c r="D494" s="23">
        <v>5.5</v>
      </c>
      <c r="E494" s="75">
        <v>41.7457</v>
      </c>
      <c r="F494" s="75">
        <v>-111.8097</v>
      </c>
      <c r="G494" s="69">
        <f>IF(C494=3,IF(D494&gt;=8,5,4),IF(C494=2,IF(D494&gt;=7,3,2),1))</f>
      </c>
    </row>
    <row r="495" spans="1:7" x14ac:dyDescent="0.25">
      <c r="A495" s="72">
        <v>493</v>
      </c>
      <c r="B495" s="64" t="s">
        <v>626</v>
      </c>
      <c r="C495" s="13">
        <v>1</v>
      </c>
      <c r="D495" s="17">
        <v>5.5</v>
      </c>
      <c r="E495" s="73">
        <v>30.8512</v>
      </c>
      <c r="F495" s="73">
        <v>-83.2895</v>
      </c>
      <c r="G495" s="66">
        <f>IF(C495=3,IF(D495&gt;=8,5,4),IF(C495=2,IF(D495&gt;=7,3,2),1))</f>
      </c>
    </row>
    <row r="496" spans="1:7" x14ac:dyDescent="0.25">
      <c r="A496" s="74">
        <v>494</v>
      </c>
      <c r="B496" s="67" t="s">
        <v>627</v>
      </c>
      <c r="C496" s="20">
        <v>1</v>
      </c>
      <c r="D496" s="23">
        <v>4.5</v>
      </c>
      <c r="E496" s="75">
        <v>41.4606</v>
      </c>
      <c r="F496" s="75">
        <v>-87.0426</v>
      </c>
      <c r="G496" s="69">
        <f>IF(C496=3,IF(D496&gt;=8,5,4),IF(C496=2,IF(D496&gt;=7,3,2),1))</f>
      </c>
    </row>
    <row r="497" spans="1:7" x14ac:dyDescent="0.25">
      <c r="A497" s="72">
        <v>495</v>
      </c>
      <c r="B497" s="64" t="s">
        <v>628</v>
      </c>
      <c r="C497" s="13">
        <v>1</v>
      </c>
      <c r="D497" s="17">
        <v>4.8</v>
      </c>
      <c r="E497" s="73">
        <v>36.1447</v>
      </c>
      <c r="F497" s="73">
        <v>-86.8027</v>
      </c>
      <c r="G497" s="66">
        <f>IF(C497=3,IF(D497&gt;=8,5,4),IF(C497=2,IF(D497&gt;=7,3,2),1))</f>
      </c>
    </row>
    <row r="498" spans="1:7" x14ac:dyDescent="0.25">
      <c r="A498" s="74">
        <v>496</v>
      </c>
      <c r="B498" s="67" t="s">
        <v>629</v>
      </c>
      <c r="C498" s="20">
        <v>1</v>
      </c>
      <c r="D498" s="23">
        <v>3.78</v>
      </c>
      <c r="E498" s="75">
        <v>41.6867</v>
      </c>
      <c r="F498" s="75">
        <v>-73.894</v>
      </c>
      <c r="G498" s="69">
        <f>IF(C498=3,IF(D498&gt;=8,5,4),IF(C498=2,IF(D498&gt;=7,3,2),1))</f>
      </c>
    </row>
    <row r="499" spans="1:7" x14ac:dyDescent="0.25">
      <c r="A499" s="72">
        <v>497</v>
      </c>
      <c r="B499" s="64" t="s">
        <v>630</v>
      </c>
      <c r="C499" s="13">
        <v>1</v>
      </c>
      <c r="D499" s="17">
        <v>3.5</v>
      </c>
      <c r="E499" s="73">
        <v>40.0384</v>
      </c>
      <c r="F499" s="73">
        <v>-75.3448</v>
      </c>
      <c r="G499" s="66">
        <f>IF(C499=3,IF(D499&gt;=8,5,4),IF(C499=2,IF(D499&gt;=7,3,2),1))</f>
      </c>
    </row>
    <row r="500" spans="1:7" x14ac:dyDescent="0.25">
      <c r="A500" s="74">
        <v>498</v>
      </c>
      <c r="B500" s="67" t="s">
        <v>631</v>
      </c>
      <c r="C500" s="20">
        <v>2</v>
      </c>
      <c r="D500" s="23">
        <v>5.8</v>
      </c>
      <c r="E500" s="75">
        <v>37.5488</v>
      </c>
      <c r="F500" s="75">
        <v>-77.453</v>
      </c>
      <c r="G500" s="69">
        <f>IF(C500=3,IF(D500&gt;=8,5,4),IF(C500=2,IF(D500&gt;=7,3,2),1))</f>
      </c>
    </row>
    <row r="501" spans="1:7" x14ac:dyDescent="0.25">
      <c r="A501" s="72">
        <v>499</v>
      </c>
      <c r="B501" s="64" t="s">
        <v>632</v>
      </c>
      <c r="C501" s="13">
        <v>2</v>
      </c>
      <c r="D501" s="17">
        <v>6.7</v>
      </c>
      <c r="E501" s="73">
        <v>37.2296</v>
      </c>
      <c r="F501" s="73">
        <v>-80.4139</v>
      </c>
      <c r="G501" s="66">
        <f>IF(C501=3,IF(D501&gt;=8,5,4),IF(C501=2,IF(D501&gt;=7,3,2),1))</f>
      </c>
    </row>
    <row r="502" spans="1:7" x14ac:dyDescent="0.25">
      <c r="A502" s="74">
        <v>500</v>
      </c>
      <c r="B502" s="67" t="s">
        <v>633</v>
      </c>
      <c r="C502" s="20">
        <v>1</v>
      </c>
      <c r="D502" s="23">
        <v>3.05</v>
      </c>
      <c r="E502" s="75">
        <v>39.9574</v>
      </c>
      <c r="F502" s="75">
        <v>-86.9014</v>
      </c>
      <c r="G502" s="69">
        <f>IF(C502=3,IF(D502&gt;=8,5,4),IF(C502=2,IF(D502&gt;=7,3,2),1))</f>
      </c>
    </row>
    <row r="503" spans="1:7" x14ac:dyDescent="0.25">
      <c r="A503" s="72">
        <v>501</v>
      </c>
      <c r="B503" s="64" t="s">
        <v>634</v>
      </c>
      <c r="C503" s="13">
        <v>1</v>
      </c>
      <c r="D503" s="17">
        <v>4.5</v>
      </c>
      <c r="E503" s="73">
        <v>40.6157</v>
      </c>
      <c r="F503" s="73">
        <v>-74.0963</v>
      </c>
      <c r="G503" s="66">
        <f>IF(C503=3,IF(D503&gt;=8,5,4),IF(C503=2,IF(D503&gt;=7,3,2),1))</f>
      </c>
    </row>
    <row r="504" spans="1:7" x14ac:dyDescent="0.25">
      <c r="A504" s="74">
        <v>502</v>
      </c>
      <c r="B504" s="67" t="s">
        <v>635</v>
      </c>
      <c r="C504" s="20">
        <v>1</v>
      </c>
      <c r="D504" s="23">
        <v>4.68</v>
      </c>
      <c r="E504" s="75">
        <v>36.1348</v>
      </c>
      <c r="F504" s="75">
        <v>-80.278</v>
      </c>
      <c r="G504" s="69">
        <f>IF(C504=3,IF(D504&gt;=8,5,4),IF(C504=2,IF(D504&gt;=7,3,2),1))</f>
      </c>
    </row>
    <row r="505" spans="1:7" x14ac:dyDescent="0.25">
      <c r="A505" s="72">
        <v>503</v>
      </c>
      <c r="B505" s="64" t="s">
        <v>636</v>
      </c>
      <c r="C505" s="13">
        <v>1</v>
      </c>
      <c r="D505" s="17">
        <v>3.28</v>
      </c>
      <c r="E505" s="73">
        <v>37.7876</v>
      </c>
      <c r="F505" s="73">
        <v>-79.4428</v>
      </c>
      <c r="G505" s="66">
        <f>IF(C505=3,IF(D505&gt;=8,5,4),IF(C505=2,IF(D505&gt;=7,3,2),1))</f>
      </c>
    </row>
    <row r="506" spans="1:7" x14ac:dyDescent="0.25">
      <c r="A506" s="74">
        <v>504</v>
      </c>
      <c r="B506" s="67" t="s">
        <v>637</v>
      </c>
      <c r="C506" s="20">
        <v>2</v>
      </c>
      <c r="D506" s="23">
        <v>6.55</v>
      </c>
      <c r="E506" s="75">
        <v>46.7319</v>
      </c>
      <c r="F506" s="75">
        <v>-117.1542</v>
      </c>
      <c r="G506" s="69">
        <f>IF(C506=3,IF(D506&gt;=8,5,4),IF(C506=2,IF(D506&gt;=7,3,2),1))</f>
      </c>
    </row>
    <row r="507" spans="1:7" x14ac:dyDescent="0.25">
      <c r="A507" s="72">
        <v>505</v>
      </c>
      <c r="B507" s="64" t="s">
        <v>638</v>
      </c>
      <c r="C507" s="13">
        <v>1</v>
      </c>
      <c r="D507" s="17">
        <v>4.25</v>
      </c>
      <c r="E507" s="73">
        <v>38.6488</v>
      </c>
      <c r="F507" s="73">
        <v>-90.3108</v>
      </c>
      <c r="G507" s="66">
        <f>IF(C507=3,IF(D507&gt;=8,5,4),IF(C507=2,IF(D507&gt;=7,3,2),1))</f>
      </c>
    </row>
    <row r="508" spans="1:7" x14ac:dyDescent="0.25">
      <c r="A508" s="74">
        <v>506</v>
      </c>
      <c r="B508" s="67" t="s">
        <v>639</v>
      </c>
      <c r="C508" s="20">
        <v>2</v>
      </c>
      <c r="D508" s="23">
        <v>5</v>
      </c>
      <c r="E508" s="75">
        <v>42.3573</v>
      </c>
      <c r="F508" s="75">
        <v>-83.0672</v>
      </c>
      <c r="G508" s="69">
        <f>IF(C508=3,IF(D508&gt;=8,5,4),IF(C508=2,IF(D508&gt;=7,3,2),1))</f>
      </c>
    </row>
    <row r="509" spans="1:7" x14ac:dyDescent="0.25">
      <c r="A509" s="72">
        <v>507</v>
      </c>
      <c r="B509" s="64" t="s">
        <v>640</v>
      </c>
      <c r="C509" s="13">
        <v>1</v>
      </c>
      <c r="D509" s="17">
        <v>5</v>
      </c>
      <c r="E509" s="73">
        <v>41.193</v>
      </c>
      <c r="F509" s="73">
        <v>-111.9474</v>
      </c>
      <c r="G509" s="66">
        <f>IF(C509=3,IF(D509&gt;=8,5,4),IF(C509=2,IF(D509&gt;=7,3,2),1))</f>
      </c>
    </row>
    <row r="510" spans="1:7" x14ac:dyDescent="0.25">
      <c r="A510" s="74">
        <v>508</v>
      </c>
      <c r="B510" s="67" t="s">
        <v>641</v>
      </c>
      <c r="C510" s="20">
        <v>1</v>
      </c>
      <c r="D510" s="23">
        <v>3.88</v>
      </c>
      <c r="E510" s="75">
        <v>42.2944</v>
      </c>
      <c r="F510" s="75">
        <v>-71.3063</v>
      </c>
      <c r="G510" s="69">
        <f>IF(C510=3,IF(D510&gt;=8,5,4),IF(C510=2,IF(D510&gt;=7,3,2),1))</f>
      </c>
    </row>
    <row r="511" spans="1:7" x14ac:dyDescent="0.25">
      <c r="A511" s="72">
        <v>509</v>
      </c>
      <c r="B511" s="64" t="s">
        <v>642</v>
      </c>
      <c r="C511" s="13">
        <v>1</v>
      </c>
      <c r="D511" s="17">
        <v>5</v>
      </c>
      <c r="E511" s="73">
        <v>42.337</v>
      </c>
      <c r="F511" s="73">
        <v>-71.0955</v>
      </c>
      <c r="G511" s="66">
        <f>IF(C511=3,IF(D511&gt;=8,5,4),IF(C511=2,IF(D511&gt;=7,3,2),1))</f>
      </c>
    </row>
    <row r="512" spans="1:7" x14ac:dyDescent="0.25">
      <c r="A512" s="74">
        <v>510</v>
      </c>
      <c r="B512" s="67" t="s">
        <v>643</v>
      </c>
      <c r="C512" s="20">
        <v>1</v>
      </c>
      <c r="D512" s="23">
        <v>3.7</v>
      </c>
      <c r="E512" s="75">
        <v>41.5565</v>
      </c>
      <c r="F512" s="75">
        <v>-72.6559</v>
      </c>
      <c r="G512" s="69">
        <f>IF(C512=3,IF(D512&gt;=8,5,4),IF(C512=2,IF(D512&gt;=7,3,2),1))</f>
      </c>
    </row>
    <row r="513" spans="1:7" x14ac:dyDescent="0.25">
      <c r="A513" s="72">
        <v>511</v>
      </c>
      <c r="B513" s="64" t="s">
        <v>644</v>
      </c>
      <c r="C513" s="13">
        <v>1</v>
      </c>
      <c r="D513" s="17">
        <v>6</v>
      </c>
      <c r="E513" s="73">
        <v>39.951</v>
      </c>
      <c r="F513" s="73">
        <v>-75.6025</v>
      </c>
      <c r="G513" s="66">
        <f>IF(C513=3,IF(D513&gt;=8,5,4),IF(C513=2,IF(D513&gt;=7,3,2),1))</f>
      </c>
    </row>
    <row r="514" spans="1:7" x14ac:dyDescent="0.25">
      <c r="A514" s="74">
        <v>512</v>
      </c>
      <c r="B514" s="67" t="s">
        <v>645</v>
      </c>
      <c r="C514" s="20">
        <v>1</v>
      </c>
      <c r="D514" s="23">
        <v>5.5</v>
      </c>
      <c r="E514" s="75">
        <v>34.9749</v>
      </c>
      <c r="F514" s="75">
        <v>-101.913</v>
      </c>
      <c r="G514" s="69">
        <f>IF(C514=3,IF(D514&gt;=8,5,4),IF(C514=2,IF(D514&gt;=7,3,2),1))</f>
      </c>
    </row>
    <row r="515" spans="1:7" x14ac:dyDescent="0.25">
      <c r="A515" s="72">
        <v>513</v>
      </c>
      <c r="B515" s="64" t="s">
        <v>646</v>
      </c>
      <c r="C515" s="13">
        <v>3</v>
      </c>
      <c r="D515" s="17">
        <v>7.85</v>
      </c>
      <c r="E515" s="73">
        <v>39.648</v>
      </c>
      <c r="F515" s="73">
        <v>-79.9559</v>
      </c>
      <c r="G515" s="66">
        <f>IF(C515=3,IF(D515&gt;=8,5,4),IF(C515=2,IF(D515&gt;=7,3,2),1))</f>
      </c>
    </row>
    <row r="516" spans="1:7" x14ac:dyDescent="0.25">
      <c r="A516" s="74">
        <v>514</v>
      </c>
      <c r="B516" s="67" t="s">
        <v>647</v>
      </c>
      <c r="C516" s="20">
        <v>1</v>
      </c>
      <c r="D516" s="23">
        <v>5.5</v>
      </c>
      <c r="E516" s="75">
        <v>35.3093</v>
      </c>
      <c r="F516" s="75">
        <v>-83.1842</v>
      </c>
      <c r="G516" s="69">
        <f>IF(C516=3,IF(D516&gt;=8,5,4),IF(C516=2,IF(D516&gt;=7,3,2),1))</f>
      </c>
    </row>
    <row r="517" spans="1:7" x14ac:dyDescent="0.25">
      <c r="A517" s="72">
        <v>515</v>
      </c>
      <c r="B517" s="64" t="s">
        <v>648</v>
      </c>
      <c r="C517" s="13">
        <v>1</v>
      </c>
      <c r="D517" s="17">
        <v>6.5</v>
      </c>
      <c r="E517" s="73">
        <v>40.4728</v>
      </c>
      <c r="F517" s="73">
        <v>-90.6855</v>
      </c>
      <c r="G517" s="66">
        <f>IF(C517=3,IF(D517&gt;=8,5,4),IF(C517=2,IF(D517&gt;=7,3,2),1))</f>
      </c>
    </row>
    <row r="518" spans="1:7" x14ac:dyDescent="0.25">
      <c r="A518" s="74">
        <v>516</v>
      </c>
      <c r="B518" s="67" t="s">
        <v>649</v>
      </c>
      <c r="C518" s="20">
        <v>2</v>
      </c>
      <c r="D518" s="23">
        <v>6</v>
      </c>
      <c r="E518" s="75">
        <v>36.9866</v>
      </c>
      <c r="F518" s="75">
        <v>-86.456</v>
      </c>
      <c r="G518" s="69">
        <f>IF(C518=3,IF(D518&gt;=8,5,4),IF(C518=2,IF(D518&gt;=7,3,2),1))</f>
      </c>
    </row>
    <row r="519" spans="1:7" x14ac:dyDescent="0.25">
      <c r="A519" s="72">
        <v>517</v>
      </c>
      <c r="B519" s="64" t="s">
        <v>650</v>
      </c>
      <c r="C519" s="13">
        <v>2</v>
      </c>
      <c r="D519" s="17">
        <v>6.03</v>
      </c>
      <c r="E519" s="73">
        <v>42.2828</v>
      </c>
      <c r="F519" s="73">
        <v>-85.6128</v>
      </c>
      <c r="G519" s="66">
        <f>IF(C519=3,IF(D519&gt;=8,5,4),IF(C519=2,IF(D519&gt;=7,3,2),1))</f>
      </c>
    </row>
    <row r="520" spans="1:7" x14ac:dyDescent="0.25">
      <c r="A520" s="74">
        <v>518</v>
      </c>
      <c r="B520" s="67" t="s">
        <v>651</v>
      </c>
      <c r="C520" s="20">
        <v>1</v>
      </c>
      <c r="D520" s="23">
        <v>5.5</v>
      </c>
      <c r="E520" s="75">
        <v>48.7337</v>
      </c>
      <c r="F520" s="75">
        <v>-122.4867</v>
      </c>
      <c r="G520" s="69">
        <f>IF(C520=3,IF(D520&gt;=8,5,4),IF(C520=2,IF(D520&gt;=7,3,2),1))</f>
      </c>
    </row>
    <row r="521" spans="1:7" x14ac:dyDescent="0.25">
      <c r="A521" s="72">
        <v>519</v>
      </c>
      <c r="B521" s="64" t="s">
        <v>652</v>
      </c>
      <c r="C521" s="13">
        <v>1</v>
      </c>
      <c r="D521" s="17">
        <v>3</v>
      </c>
      <c r="E521" s="73">
        <v>41.8688</v>
      </c>
      <c r="F521" s="73">
        <v>-88.0957</v>
      </c>
      <c r="G521" s="66">
        <f>IF(C521=3,IF(D521&gt;=8,5,4),IF(C521=2,IF(D521&gt;=7,3,2),1))</f>
      </c>
    </row>
    <row r="522" spans="1:7" x14ac:dyDescent="0.25">
      <c r="A522" s="74">
        <v>520</v>
      </c>
      <c r="B522" s="67" t="s">
        <v>653</v>
      </c>
      <c r="C522" s="20">
        <v>1</v>
      </c>
      <c r="D522" s="23">
        <v>3.15</v>
      </c>
      <c r="E522" s="75">
        <v>46.0714</v>
      </c>
      <c r="F522" s="75">
        <v>-118.3272</v>
      </c>
      <c r="G522" s="69">
        <f>IF(C522=3,IF(D522&gt;=8,5,4),IF(C522=2,IF(D522&gt;=7,3,2),1))</f>
      </c>
    </row>
    <row r="523" spans="1:7" x14ac:dyDescent="0.25">
      <c r="A523" s="72">
        <v>521</v>
      </c>
      <c r="B523" s="64" t="s">
        <v>654</v>
      </c>
      <c r="C523" s="13">
        <v>1</v>
      </c>
      <c r="D523" s="17">
        <v>5</v>
      </c>
      <c r="E523" s="73">
        <v>37.7185</v>
      </c>
      <c r="F523" s="73">
        <v>-97.2957</v>
      </c>
      <c r="G523" s="66">
        <f>IF(C523=3,IF(D523&gt;=8,5,4),IF(C523=2,IF(D523&gt;=7,3,2),1))</f>
      </c>
    </row>
    <row r="524" spans="1:7" x14ac:dyDescent="0.25">
      <c r="A524" s="74">
        <v>522</v>
      </c>
      <c r="B524" s="67" t="s">
        <v>655</v>
      </c>
      <c r="C524" s="20">
        <v>1</v>
      </c>
      <c r="D524" s="23">
        <v>3.48</v>
      </c>
      <c r="E524" s="75">
        <v>44.9376</v>
      </c>
      <c r="F524" s="75">
        <v>-123.0335</v>
      </c>
      <c r="G524" s="69">
        <f>IF(C524=3,IF(D524&gt;=8,5,4),IF(C524=2,IF(D524&gt;=7,3,2),1))</f>
      </c>
    </row>
    <row r="525" spans="1:7" x14ac:dyDescent="0.25">
      <c r="A525" s="72">
        <v>523</v>
      </c>
      <c r="B525" s="64" t="s">
        <v>656</v>
      </c>
      <c r="C525" s="13">
        <v>1</v>
      </c>
      <c r="D525" s="17">
        <v>5</v>
      </c>
      <c r="E525" s="73">
        <v>40.9521</v>
      </c>
      <c r="F525" s="73">
        <v>-74.2012</v>
      </c>
      <c r="G525" s="66">
        <f>IF(C525=3,IF(D525&gt;=8,5,4),IF(C525=2,IF(D525&gt;=7,3,2),1))</f>
      </c>
    </row>
    <row r="526" spans="1:7" x14ac:dyDescent="0.25">
      <c r="A526" s="74">
        <v>524</v>
      </c>
      <c r="B526" s="67" t="s">
        <v>657</v>
      </c>
      <c r="C526" s="20">
        <v>1</v>
      </c>
      <c r="D526" s="23">
        <v>4.03</v>
      </c>
      <c r="E526" s="75">
        <v>42.7128</v>
      </c>
      <c r="F526" s="75">
        <v>-73.2037</v>
      </c>
      <c r="G526" s="69">
        <f>IF(C526=3,IF(D526&gt;=8,5,4),IF(C526=2,IF(D526&gt;=7,3,2),1))</f>
      </c>
    </row>
    <row r="527" spans="1:7" x14ac:dyDescent="0.25">
      <c r="A527" s="72">
        <v>525</v>
      </c>
      <c r="B527" s="64" t="s">
        <v>658</v>
      </c>
      <c r="C527" s="13">
        <v>1</v>
      </c>
      <c r="D527" s="17">
        <v>5.5</v>
      </c>
      <c r="E527" s="73">
        <v>44.046</v>
      </c>
      <c r="F527" s="73">
        <v>-91.6622</v>
      </c>
      <c r="G527" s="66">
        <f>IF(C527=3,IF(D527&gt;=8,5,4),IF(C527=2,IF(D527&gt;=7,3,2),1))</f>
      </c>
    </row>
    <row r="528" spans="1:7" x14ac:dyDescent="0.25">
      <c r="A528" s="74">
        <v>526</v>
      </c>
      <c r="B528" s="67" t="s">
        <v>659</v>
      </c>
      <c r="C528" s="20">
        <v>1</v>
      </c>
      <c r="D528" s="23">
        <v>5.5</v>
      </c>
      <c r="E528" s="75">
        <v>36.0977</v>
      </c>
      <c r="F528" s="75">
        <v>-80.2231</v>
      </c>
      <c r="G528" s="69">
        <f>IF(C528=3,IF(D528&gt;=8,5,4),IF(C528=2,IF(D528&gt;=7,3,2),1))</f>
      </c>
    </row>
    <row r="529" spans="1:7" x14ac:dyDescent="0.25">
      <c r="A529" s="72">
        <v>527</v>
      </c>
      <c r="B529" s="64" t="s">
        <v>660</v>
      </c>
      <c r="C529" s="13">
        <v>1</v>
      </c>
      <c r="D529" s="17">
        <v>5</v>
      </c>
      <c r="E529" s="73">
        <v>34.9365</v>
      </c>
      <c r="F529" s="73">
        <v>-81.0312</v>
      </c>
      <c r="G529" s="66">
        <f>IF(C529=3,IF(D529&gt;=8,5,4),IF(C529=2,IF(D529&gt;=7,3,2),1))</f>
      </c>
    </row>
    <row r="530" spans="1:7" x14ac:dyDescent="0.25">
      <c r="A530" s="74">
        <v>528</v>
      </c>
      <c r="B530" s="67" t="s">
        <v>661</v>
      </c>
      <c r="C530" s="20">
        <v>1</v>
      </c>
      <c r="D530" s="23">
        <v>3.68</v>
      </c>
      <c r="E530" s="75">
        <v>34.9572</v>
      </c>
      <c r="F530" s="75">
        <v>-81.9324</v>
      </c>
      <c r="G530" s="69">
        <f>IF(C530=3,IF(D530&gt;=8,5,4),IF(C530=2,IF(D530&gt;=7,3,2),1))</f>
      </c>
    </row>
    <row r="531" spans="1:7" x14ac:dyDescent="0.25">
      <c r="A531" s="72">
        <v>529</v>
      </c>
      <c r="B531" s="64" t="s">
        <v>662</v>
      </c>
      <c r="C531" s="13">
        <v>1</v>
      </c>
      <c r="D531" s="17">
        <v>5.5</v>
      </c>
      <c r="E531" s="73">
        <v>34.9594</v>
      </c>
      <c r="F531" s="73">
        <v>-81.9291</v>
      </c>
      <c r="G531" s="66">
        <f>IF(C531=3,IF(D531&gt;=8,5,4),IF(C531=2,IF(D531&gt;=7,3,2),1))</f>
      </c>
    </row>
    <row r="532" spans="1:7" x14ac:dyDescent="0.25">
      <c r="A532" s="74">
        <v>530</v>
      </c>
      <c r="B532" s="67" t="s">
        <v>663</v>
      </c>
      <c r="C532" s="20">
        <v>1</v>
      </c>
      <c r="D532" s="23">
        <v>4.48</v>
      </c>
      <c r="E532" s="75">
        <v>42.2746</v>
      </c>
      <c r="F532" s="75">
        <v>-71.8063</v>
      </c>
      <c r="G532" s="69">
        <f>IF(C532=3,IF(D532&gt;=8,5,4),IF(C532=2,IF(D532&gt;=7,3,2),1))</f>
      </c>
    </row>
    <row r="533" spans="1:7" x14ac:dyDescent="0.25">
      <c r="A533" s="72">
        <v>531</v>
      </c>
      <c r="B533" s="64" t="s">
        <v>664</v>
      </c>
      <c r="C533" s="13">
        <v>1</v>
      </c>
      <c r="D533" s="17">
        <v>5</v>
      </c>
      <c r="E533" s="73">
        <v>39.7813</v>
      </c>
      <c r="F533" s="73">
        <v>-84.0625</v>
      </c>
      <c r="G533" s="66">
        <f>IF(C533=3,IF(D533&gt;=8,5,4),IF(C533=2,IF(D533&gt;=7,3,2),1))</f>
      </c>
    </row>
    <row r="534" spans="1:7" x14ac:dyDescent="0.25">
      <c r="A534" s="74">
        <v>532</v>
      </c>
      <c r="B534" s="67" t="s">
        <v>665</v>
      </c>
      <c r="C534" s="20">
        <v>2</v>
      </c>
      <c r="D534" s="23">
        <v>5.55</v>
      </c>
      <c r="E534" s="75">
        <v>39.1503</v>
      </c>
      <c r="F534" s="75">
        <v>-84.4734</v>
      </c>
      <c r="G534" s="69">
        <f>IF(C534=3,IF(D534&gt;=8,5,4),IF(C534=2,IF(D534&gt;=7,3,2),1))</f>
      </c>
    </row>
    <row r="535" spans="1:7" x14ac:dyDescent="0.25">
      <c r="A535" s="72">
        <v>533</v>
      </c>
      <c r="B535" s="64" t="s">
        <v>666</v>
      </c>
      <c r="C535" s="13">
        <v>1</v>
      </c>
      <c r="D535" s="17">
        <v>4.5</v>
      </c>
      <c r="E535" s="73">
        <v>29.9657</v>
      </c>
      <c r="F535" s="73">
        <v>-90.1073</v>
      </c>
      <c r="G535" s="66">
        <f>IF(C535=3,IF(D535&gt;=8,5,4),IF(C535=2,IF(D535&gt;=7,3,2),1))</f>
      </c>
    </row>
    <row r="536" spans="1:7" x14ac:dyDescent="0.25">
      <c r="A536" s="74">
        <v>534</v>
      </c>
      <c r="B536" s="67" t="s">
        <v>667</v>
      </c>
      <c r="C536" s="20">
        <v>1</v>
      </c>
      <c r="D536" s="23">
        <v>4.1</v>
      </c>
      <c r="E536" s="75">
        <v>41.3163</v>
      </c>
      <c r="F536" s="75">
        <v>-72.9223</v>
      </c>
      <c r="G536" s="69">
        <f>IF(C536=3,IF(D536&gt;=8,5,4),IF(C536=2,IF(D536&gt;=7,3,2),1))</f>
      </c>
    </row>
    <row r="537" spans="1:7" x14ac:dyDescent="0.25">
      <c r="A537" s="72">
        <v>535</v>
      </c>
      <c r="B537" s="64" t="s">
        <v>668</v>
      </c>
      <c r="C537" s="13">
        <v>1</v>
      </c>
      <c r="D537" s="17">
        <v>5</v>
      </c>
      <c r="E537" s="73">
        <v>41.106</v>
      </c>
      <c r="F537" s="73">
        <v>-80.6471</v>
      </c>
      <c r="G537" s="66">
        <f>IF(C537=3,IF(D537&gt;=8,5,4),IF(C537=2,IF(D537&gt;=7,3,2),1))</f>
      </c>
    </row>
  </sheetData>
  <autoFilter ref="A2:G537"/>
  <mergeCells count="1">
    <mergeCell ref="A1:G1"/>
  </mergeCells>
  <conditionalFormatting sqref="C3:C537">
    <cfRule type="cellIs" dxfId="6" priority="1" operator="equal">
      <formula>1</formula>
    </cfRule>
    <cfRule type="cellIs" dxfId="7" priority="2" operator="equal">
      <formula>2</formula>
    </cfRule>
    <cfRule type="cellIs" dxfId="8" priority="3" operator="equal">
      <formula>3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 Info</vt:lpstr>
      <vt:lpstr>Property Scoring</vt:lpstr>
      <vt:lpstr>GL Scoring</vt:lpstr>
      <vt:lpstr>Grade Reference</vt:lpstr>
      <vt:lpstr>University 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HABGEN Risk Scorer</dc:creator>
  <dc:title/>
  <dc:subject/>
  <dc:description/>
  <cp:keywords/>
  <cp:category/>
  <cp:lastModifiedBy>Unknown</cp:lastModifiedBy>
  <dcterms:created xsi:type="dcterms:W3CDTF">2026-02-12T10:45:59Z</dcterms:created>
  <dcterms:modified xsi:type="dcterms:W3CDTF">2026-02-12T10:45:59Z</dcterms:modified>
</cp:coreProperties>
</file>